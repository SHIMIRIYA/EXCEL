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22FA9F-66A4-49D2-82EA-1706B4AF84FC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Intro" sheetId="1" r:id="rId1"/>
    <sheet name="DESCRIPTION" sheetId="2" r:id="rId2"/>
    <sheet name="DATE,DAY,TODAY,NOW" sheetId="3" r:id="rId3"/>
    <sheet name="DESCRIPTION2" sheetId="4" r:id="rId4"/>
    <sheet name="DAY,YEAR,HOUR,MINUTE,.." sheetId="5" r:id="rId5"/>
    <sheet name="DESCRIPTION3 " sheetId="6" r:id="rId6"/>
    <sheet name="NETWORKDAY,EDATE" sheetId="7" r:id="rId7"/>
    <sheet name="OVERALL" sheetId="8" r:id="rId8"/>
    <sheet name="EXCERCIS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063hSd0o4hLG4IhEWsqeQNFWExHFoB1BXUQ2/Dh18PU="/>
    </ext>
  </extLst>
</workbook>
</file>

<file path=xl/calcChain.xml><?xml version="1.0" encoding="utf-8"?>
<calcChain xmlns="http://schemas.openxmlformats.org/spreadsheetml/2006/main">
  <c r="L24" i="9" l="1"/>
  <c r="L22" i="9"/>
  <c r="L20" i="9"/>
  <c r="L18" i="9"/>
  <c r="L16" i="9"/>
  <c r="M14" i="9"/>
  <c r="D15" i="9"/>
  <c r="M12" i="9"/>
  <c r="M10" i="9"/>
  <c r="M8" i="9"/>
  <c r="M6" i="9"/>
  <c r="I15" i="8"/>
  <c r="I16" i="8"/>
  <c r="I17" i="8"/>
  <c r="I14" i="8"/>
  <c r="G15" i="8"/>
  <c r="G16" i="8"/>
  <c r="G17" i="8"/>
  <c r="G14" i="8"/>
  <c r="L5" i="8"/>
  <c r="L6" i="8"/>
  <c r="L7" i="8"/>
  <c r="L8" i="8"/>
  <c r="L4" i="8"/>
  <c r="K5" i="8"/>
  <c r="K6" i="8"/>
  <c r="K7" i="8"/>
  <c r="K8" i="8"/>
  <c r="K4" i="8"/>
  <c r="J5" i="8"/>
  <c r="J6" i="8"/>
  <c r="J7" i="8"/>
  <c r="J8" i="8"/>
  <c r="J4" i="8"/>
  <c r="I5" i="8"/>
  <c r="I6" i="8"/>
  <c r="I7" i="8"/>
  <c r="I8" i="8"/>
  <c r="I4" i="8"/>
  <c r="F5" i="8"/>
  <c r="F6" i="8"/>
  <c r="F7" i="8"/>
  <c r="F4" i="8"/>
  <c r="E5" i="8"/>
  <c r="E6" i="8"/>
  <c r="E7" i="8"/>
  <c r="E4" i="8"/>
  <c r="D5" i="8"/>
  <c r="D6" i="8"/>
  <c r="D7" i="8"/>
  <c r="D4" i="8"/>
  <c r="C6" i="8"/>
  <c r="C7" i="8"/>
  <c r="C5" i="8"/>
  <c r="C4" i="8"/>
  <c r="H6" i="7"/>
  <c r="H7" i="7"/>
  <c r="H8" i="7"/>
  <c r="H9" i="7"/>
  <c r="H10" i="7"/>
  <c r="H11" i="7"/>
  <c r="H12" i="7"/>
  <c r="H13" i="7"/>
  <c r="H14" i="7"/>
  <c r="H5" i="7"/>
  <c r="G6" i="7"/>
  <c r="G7" i="7"/>
  <c r="G8" i="7"/>
  <c r="G9" i="7"/>
  <c r="G10" i="7"/>
  <c r="G11" i="7"/>
  <c r="G12" i="7"/>
  <c r="G13" i="7"/>
  <c r="G14" i="7"/>
  <c r="G5" i="7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4" i="5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K4" i="3"/>
  <c r="J4" i="3"/>
  <c r="I4" i="3"/>
  <c r="I17" i="9"/>
  <c r="I15" i="9"/>
  <c r="I13" i="9"/>
  <c r="I11" i="9"/>
  <c r="P9" i="9"/>
  <c r="P7" i="9"/>
  <c r="P5" i="9"/>
  <c r="L1" i="3"/>
  <c r="H1" i="3"/>
</calcChain>
</file>

<file path=xl/sharedStrings.xml><?xml version="1.0" encoding="utf-8"?>
<sst xmlns="http://schemas.openxmlformats.org/spreadsheetml/2006/main" count="151" uniqueCount="125">
  <si>
    <t xml:space="preserve">                                                                DATE AND TIME FUNCTIONS</t>
  </si>
  <si>
    <t>1. NOW()</t>
  </si>
  <si>
    <t>2. TODAY()</t>
  </si>
  <si>
    <t>3.YEAR()</t>
  </si>
  <si>
    <t>4.DAY()</t>
  </si>
  <si>
    <t>5.HOUR()</t>
  </si>
  <si>
    <t xml:space="preserve">6.MINUTE()
</t>
  </si>
  <si>
    <t xml:space="preserve">7.SECOND()
</t>
  </si>
  <si>
    <t>8.TIME ()</t>
  </si>
  <si>
    <t>9.EDATE()</t>
  </si>
  <si>
    <t>10.TEXT</t>
  </si>
  <si>
    <t>11.DATE()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</si>
  <si>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 xml:space="preserve"> Logistics Dispatch Data</t>
    </r>
  </si>
  <si>
    <r>
      <rPr>
        <sz val="11"/>
        <color rgb="FFFF0000"/>
        <rFont val="Calibri"/>
      </rPr>
      <t>⏰</t>
    </r>
    <r>
      <rPr>
        <sz val="11"/>
        <color theme="1"/>
        <rFont val="Calibri"/>
      </rPr>
      <t>Current Date&amp; Time:</t>
    </r>
  </si>
  <si>
    <t>Order ID</t>
  </si>
  <si>
    <t>Disp_Year</t>
  </si>
  <si>
    <t>Disp_Month</t>
  </si>
  <si>
    <t>Disp_Day</t>
  </si>
  <si>
    <t>Dis_Hour</t>
  </si>
  <si>
    <t>Dis_Minute</t>
  </si>
  <si>
    <t>Dis_Second</t>
  </si>
  <si>
    <t>Deadline</t>
  </si>
  <si>
    <t>Disp_Date</t>
  </si>
  <si>
    <t>Disp_Time</t>
  </si>
  <si>
    <t>Days Left 
today to dead line</t>
  </si>
  <si>
    <t>L001</t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</si>
  <si>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 xml:space="preserve">Combine Year, Month, Day into a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>(=Date())</t>
    </r>
  </si>
  <si>
    <t>L002</t>
  </si>
  <si>
    <r>
      <rPr>
        <sz val="11"/>
        <color rgb="FFFF0000"/>
        <rFont val="Calibri"/>
      </rPr>
      <t>⏱️</t>
    </r>
    <r>
      <rPr>
        <sz val="11"/>
        <color theme="1"/>
        <rFont val="Calibri"/>
      </rPr>
      <t xml:space="preserve">Combine Hour, Minute, Second into </t>
    </r>
    <r>
      <rPr>
        <b/>
        <sz val="11"/>
        <color theme="1"/>
        <rFont val="Calibri"/>
      </rPr>
      <t>Dispatch Time</t>
    </r>
    <r>
      <rPr>
        <sz val="11"/>
        <color theme="1"/>
        <rFont val="Calibri"/>
      </rPr>
      <t>(=Time())</t>
    </r>
  </si>
  <si>
    <t>L003</t>
  </si>
  <si>
    <r>
      <rPr>
        <sz val="11"/>
        <color rgb="FFFF0000"/>
        <rFont val="Calibri"/>
      </rPr>
      <t>📅</t>
    </r>
    <r>
      <rPr>
        <sz val="11"/>
        <color theme="1"/>
        <rFont val="Calibri"/>
      </rPr>
      <t xml:space="preserve">Calculate how many days are left from </t>
    </r>
    <r>
      <rPr>
        <b/>
        <sz val="11"/>
        <color theme="1"/>
        <rFont val="Calibri"/>
      </rPr>
      <t>today to Deadline</t>
    </r>
    <r>
      <rPr>
        <sz val="11"/>
        <color theme="1"/>
        <rFont val="Calibri"/>
      </rPr>
      <t xml:space="preserve"> using: </t>
    </r>
    <r>
      <rPr>
        <sz val="10"/>
        <color theme="1"/>
        <rFont val="Arial Unicode MS"/>
      </rPr>
      <t>=I4 - TODAY()</t>
    </r>
  </si>
  <si>
    <t>L004</t>
  </si>
  <si>
    <r>
      <rPr>
        <sz val="11"/>
        <color rgb="FFFF0000"/>
        <rFont val="Calibri"/>
      </rPr>
      <t>⏰</t>
    </r>
    <r>
      <rPr>
        <sz val="11"/>
        <color theme="1"/>
        <rFont val="Calibri"/>
      </rPr>
      <t xml:space="preserve">Record the </t>
    </r>
    <r>
      <rPr>
        <b/>
        <sz val="11"/>
        <color theme="1"/>
        <rFont val="Calibri"/>
      </rPr>
      <t>current date &amp; time</t>
    </r>
    <r>
      <rPr>
        <sz val="11"/>
        <color theme="1"/>
        <rFont val="Calibri"/>
      </rPr>
      <t xml:space="preserve"> during dispatch entry(=Now())</t>
    </r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</si>
  <si>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</si>
  <si>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</si>
  <si>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</si>
  <si>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</si>
  <si>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</si>
  <si>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</si>
  <si>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</si>
  <si>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</si>
  <si>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</si>
  <si>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</si>
  <si>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</si>
  <si>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>Logistics Delivery Data</t>
    </r>
  </si>
  <si>
    <t>Dispatch Date</t>
  </si>
  <si>
    <t>Dispatch Time</t>
  </si>
  <si>
    <t>Day</t>
  </si>
  <si>
    <t>Year</t>
  </si>
  <si>
    <t>Month</t>
  </si>
  <si>
    <t>Hour</t>
  </si>
  <si>
    <t>Minute</t>
  </si>
  <si>
    <t>Second</t>
  </si>
  <si>
    <t>Text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</si>
  <si>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</si>
  <si>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</si>
  <si>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</si>
  <si>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</si>
  <si>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</si>
  <si>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</si>
  <si>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</si>
  <si>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</si>
  <si>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</si>
  <si>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</si>
  <si>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</si>
  <si>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</si>
  <si>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</si>
  <si>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</si>
  <si>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</si>
  <si>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>Logistics Delivery Data</t>
    </r>
  </si>
  <si>
    <t>NETWORKDAYS- Saturday and Sunday as weekends (default)</t>
  </si>
  <si>
    <t>Start Date</t>
  </si>
  <si>
    <t>End Date</t>
  </si>
  <si>
    <t>Delivery Term (Months)</t>
  </si>
  <si>
    <t xml:space="preserve">No.of working Days
</t>
  </si>
  <si>
    <t xml:space="preserve">Expected Delivary Date
</t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</si>
  <si>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 xml:space="preserve">Find the number of working days between </t>
    </r>
    <r>
      <rPr>
        <sz val="10"/>
        <color theme="1"/>
        <rFont val="Arial Unicode MS"/>
      </rPr>
      <t>Start Date</t>
    </r>
    <r>
      <rPr>
        <sz val="11"/>
        <color theme="1"/>
        <rFont val="Calibri"/>
      </rPr>
      <t xml:space="preserve"> and </t>
    </r>
    <r>
      <rPr>
        <sz val="10"/>
        <color theme="1"/>
        <rFont val="Arial Unicode MS"/>
      </rPr>
      <t>End Date</t>
    </r>
    <r>
      <rPr>
        <sz val="11"/>
        <color theme="1"/>
        <rFont val="Calibri"/>
      </rPr>
      <t xml:space="preserve"> for Orders(=NETWORKDAYS)</t>
    </r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</si>
  <si>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>Calculate the expected delivery date the Months</t>
    </r>
    <r>
      <rPr>
        <b/>
        <sz val="11"/>
        <color theme="1"/>
        <rFont val="Calibri"/>
      </rPr>
      <t xml:space="preserve"> after the start</t>
    </r>
    <r>
      <rPr>
        <sz val="11"/>
        <color theme="1"/>
        <rFont val="Calibri"/>
      </rPr>
      <t xml:space="preserve"> for Orders(=EDATE)</t>
    </r>
  </si>
  <si>
    <t>DATA</t>
  </si>
  <si>
    <t>DAY</t>
  </si>
  <si>
    <t>MONTH</t>
  </si>
  <si>
    <t>YEAR</t>
  </si>
  <si>
    <t>DATE</t>
  </si>
  <si>
    <t>HOURS</t>
  </si>
  <si>
    <t>MINUTES</t>
  </si>
  <si>
    <t>SECOND</t>
  </si>
  <si>
    <t xml:space="preserve">TIME </t>
  </si>
  <si>
    <t>START DATE</t>
  </si>
  <si>
    <t>ADD MONTH</t>
  </si>
  <si>
    <t>FINAL DATE</t>
  </si>
  <si>
    <t xml:space="preserve">No.workdays
</t>
  </si>
  <si>
    <t>EXCERCISE</t>
  </si>
  <si>
    <t>Dispatch Year</t>
  </si>
  <si>
    <t>Dispatch Month</t>
  </si>
  <si>
    <t>Dispatch Day</t>
  </si>
  <si>
    <t>Delivery Date</t>
  </si>
  <si>
    <t>Delivery Months</t>
  </si>
  <si>
    <r>
      <rPr>
        <b/>
        <sz val="18"/>
        <color rgb="FFFF0000"/>
        <rFont val="Calibri"/>
      </rPr>
      <t>❓</t>
    </r>
    <r>
      <rPr>
        <b/>
        <sz val="18"/>
        <color theme="1"/>
        <rFont val="Calibri"/>
      </rPr>
      <t xml:space="preserve"> Exercise Questions </t>
    </r>
  </si>
  <si>
    <r>
      <rPr>
        <b/>
        <sz val="18"/>
        <color rgb="FF00B050"/>
        <rFont val="Calibri"/>
      </rPr>
      <t>✅</t>
    </r>
    <r>
      <rPr>
        <b/>
        <sz val="18"/>
        <color theme="1"/>
        <rFont val="Calibri"/>
      </rPr>
      <t xml:space="preserve"> Answer Key (Solutions)</t>
    </r>
  </si>
  <si>
    <r>
      <rPr>
        <sz val="11"/>
        <color theme="1"/>
        <rFont val="Calibri"/>
      </rPr>
      <t xml:space="preserve">1. Write a formula to return </t>
    </r>
    <r>
      <rPr>
        <b/>
        <sz val="11"/>
        <color theme="1"/>
        <rFont val="Calibri"/>
      </rPr>
      <t>today's date</t>
    </r>
    <r>
      <rPr>
        <sz val="11"/>
        <color theme="1"/>
        <rFont val="Calibri"/>
      </rPr>
      <t>.</t>
    </r>
  </si>
  <si>
    <t>1. =TODAY()</t>
  </si>
  <si>
    <r>
      <rPr>
        <sz val="11"/>
        <color theme="1"/>
        <rFont val="Calibri"/>
      </rPr>
      <t xml:space="preserve">2. Write a formula to return the </t>
    </r>
    <r>
      <rPr>
        <b/>
        <sz val="11"/>
        <color theme="1"/>
        <rFont val="Calibri"/>
      </rPr>
      <t>current date and time</t>
    </r>
    <r>
      <rPr>
        <sz val="11"/>
        <color theme="1"/>
        <rFont val="Calibri"/>
      </rPr>
      <t>.</t>
    </r>
  </si>
  <si>
    <t>2. =NOW()</t>
  </si>
  <si>
    <r>
      <rPr>
        <sz val="11"/>
        <color theme="1"/>
        <rFont val="Calibri"/>
      </rPr>
      <t xml:space="preserve">3. Extract the </t>
    </r>
    <r>
      <rPr>
        <b/>
        <sz val="11"/>
        <color theme="1"/>
        <rFont val="Calibri"/>
      </rPr>
      <t>year</t>
    </r>
    <r>
      <rPr>
        <sz val="11"/>
        <color theme="1"/>
        <rFont val="Calibri"/>
      </rPr>
      <t xml:space="preserve"> from the Delivery Date of Order </t>
    </r>
    <r>
      <rPr>
        <b/>
        <sz val="11"/>
        <color theme="1"/>
        <rFont val="Calibri"/>
      </rPr>
      <t>L001</t>
    </r>
    <r>
      <rPr>
        <sz val="11"/>
        <color theme="1"/>
        <rFont val="Calibri"/>
      </rPr>
      <t>.</t>
    </r>
  </si>
  <si>
    <t>3. =YEAR(F2)</t>
  </si>
  <si>
    <t>(F2 = Delivery Date of L001)</t>
  </si>
  <si>
    <r>
      <rPr>
        <sz val="11"/>
        <color theme="1"/>
        <rFont val="Calibri"/>
      </rPr>
      <t xml:space="preserve">4. Construct a full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 xml:space="preserve"> using the Year, Month, and Day columns for L001.</t>
    </r>
  </si>
  <si>
    <t>4. =DATE(B2, C2, D2)</t>
  </si>
  <si>
    <r>
      <rPr>
        <sz val="11"/>
        <color theme="1"/>
        <rFont val="Calibri"/>
      </rPr>
      <t xml:space="preserve">5. Convert the Dispatch Date of L001 to show the </t>
    </r>
    <r>
      <rPr>
        <b/>
        <sz val="11"/>
        <color theme="1"/>
        <rFont val="Calibri"/>
      </rPr>
      <t>month name</t>
    </r>
    <r>
      <rPr>
        <sz val="11"/>
        <color theme="1"/>
        <rFont val="Calibri"/>
      </rPr>
      <t xml:space="preserve"> only.</t>
    </r>
  </si>
  <si>
    <t>(B2 = Year, C2 = Month, D2 = Day)</t>
  </si>
  <si>
    <r>
      <rPr>
        <sz val="11"/>
        <color theme="1"/>
        <rFont val="Calibri"/>
      </rPr>
      <t xml:space="preserve">6. Add the number of </t>
    </r>
    <r>
      <rPr>
        <b/>
        <sz val="11"/>
        <color theme="1"/>
        <rFont val="Calibri"/>
      </rPr>
      <t>Delivery Months</t>
    </r>
    <r>
      <rPr>
        <sz val="11"/>
        <color theme="1"/>
        <rFont val="Calibri"/>
      </rPr>
      <t xml:space="preserve"> to Dispatch Date and find the </t>
    </r>
    <r>
      <rPr>
        <b/>
        <sz val="11"/>
        <color theme="1"/>
        <rFont val="Calibri"/>
      </rPr>
      <t>estimated delivery date</t>
    </r>
    <r>
      <rPr>
        <sz val="11"/>
        <color theme="1"/>
        <rFont val="Calibri"/>
      </rPr>
      <t>.</t>
    </r>
  </si>
  <si>
    <t>5. =TEXT(DATE(B2, C2, D2), "mmmm")</t>
  </si>
  <si>
    <r>
      <rPr>
        <sz val="11"/>
        <color theme="1"/>
        <rFont val="Calibri"/>
      </rPr>
      <t xml:space="preserve">7. Find the number of </t>
    </r>
    <r>
      <rPr>
        <b/>
        <sz val="11"/>
        <color theme="1"/>
        <rFont val="Calibri"/>
      </rPr>
      <t>working days</t>
    </r>
    <r>
      <rPr>
        <sz val="11"/>
        <color theme="1"/>
        <rFont val="Calibri"/>
      </rPr>
      <t xml:space="preserve"> between Dispatch Date and Delivery Date.</t>
    </r>
  </si>
  <si>
    <t>6. =EDATE(DATE(B2, C2, D2), G2)</t>
  </si>
  <si>
    <t>(G2 = Delivery Months)</t>
  </si>
  <si>
    <r>
      <rPr>
        <sz val="11"/>
        <color theme="1"/>
        <rFont val="Calibri"/>
      </rPr>
      <t xml:space="preserve">8. Extract the </t>
    </r>
    <r>
      <rPr>
        <b/>
        <sz val="11"/>
        <color theme="1"/>
        <rFont val="Calibri"/>
      </rPr>
      <t>hour</t>
    </r>
    <r>
      <rPr>
        <sz val="11"/>
        <color theme="1"/>
        <rFont val="Calibri"/>
      </rPr>
      <t xml:space="preserve"> from Dispatch Time of Order L001.</t>
    </r>
  </si>
  <si>
    <t>7. =NETWORKDAYS(DATE(B2, C2, D2), F2)</t>
  </si>
  <si>
    <r>
      <rPr>
        <sz val="11"/>
        <color theme="1"/>
        <rFont val="Calibri"/>
      </rPr>
      <t xml:space="preserve">9. Extract the </t>
    </r>
    <r>
      <rPr>
        <b/>
        <sz val="11"/>
        <color theme="1"/>
        <rFont val="Calibri"/>
      </rPr>
      <t>minute</t>
    </r>
    <r>
      <rPr>
        <sz val="11"/>
        <color theme="1"/>
        <rFont val="Calibri"/>
      </rPr>
      <t xml:space="preserve"> from Dispatch Time of Order L002.</t>
    </r>
  </si>
  <si>
    <t>8. =HOUR(E2)</t>
  </si>
  <si>
    <r>
      <rPr>
        <sz val="11"/>
        <color theme="1"/>
        <rFont val="Calibri"/>
      </rPr>
      <t xml:space="preserve">10. Extract the </t>
    </r>
    <r>
      <rPr>
        <b/>
        <sz val="11"/>
        <color theme="1"/>
        <rFont val="Calibri"/>
      </rPr>
      <t>second</t>
    </r>
    <r>
      <rPr>
        <sz val="11"/>
        <color theme="1"/>
        <rFont val="Calibri"/>
      </rPr>
      <t xml:space="preserve"> from Dispatch Time of Order L003.</t>
    </r>
  </si>
  <si>
    <t>(E2 = Dispatch Time of L001)</t>
  </si>
  <si>
    <t>9. =MINUTE(E3)</t>
  </si>
  <si>
    <t>(E3 = Dispatch Time of L002)</t>
  </si>
  <si>
    <t>10. =SECOND(E4)</t>
  </si>
  <si>
    <t>(E4 = Dispatch Time of L003)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</si>
</sst>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[$-409]mmmm\ d\,\ yyyy"/>
    <numFmt numFmtId="166" formatCode="[$-409]dd/mmm/yy"/>
    <numFmt numFmtId="167" formatCode="[$-F800]dddd\,\ mmmm\ dd\,\ yyyy"/>
  </numFmts>
  <fonts count="19">
    <font>
      <sz val="11"/>
      <color theme="1"/>
      <name val="Calibri"/>
      <scheme val="minor"/>
    </font>
    <font>
      <b/>
      <sz val="18"/>
      <color theme="1"/>
      <name val="Calibri"/>
    </font>
    <font>
      <sz val="18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4"/>
      <color theme="1"/>
      <name val="Calibri"/>
    </font>
    <font>
      <sz val="11"/>
      <color theme="1"/>
      <name val="Calibri"/>
    </font>
    <font>
      <b/>
      <u/>
      <sz val="18"/>
      <color theme="1"/>
      <name val="Calibri"/>
    </font>
    <font>
      <b/>
      <sz val="11"/>
      <color theme="1"/>
      <name val="Calibri"/>
    </font>
    <font>
      <sz val="10"/>
      <color theme="1"/>
      <name val="Arimo"/>
    </font>
    <font>
      <b/>
      <sz val="12"/>
      <color theme="1"/>
      <name val="Calibri"/>
    </font>
    <font>
      <sz val="11"/>
      <name val="Calibri"/>
    </font>
    <font>
      <b/>
      <sz val="14"/>
      <color theme="1"/>
      <name val="Calibri"/>
    </font>
    <font>
      <b/>
      <u/>
      <sz val="20"/>
      <color theme="1"/>
      <name val="Calibri"/>
    </font>
    <font>
      <b/>
      <u/>
      <sz val="18"/>
      <color rgb="FFFF0000"/>
      <name val="Calibri"/>
    </font>
    <font>
      <sz val="11"/>
      <color rgb="FFFF0000"/>
      <name val="Calibri"/>
    </font>
    <font>
      <sz val="10"/>
      <color theme="1"/>
      <name val="Arial Unicode MS"/>
    </font>
    <font>
      <b/>
      <sz val="18"/>
      <color rgb="FFFF0000"/>
      <name val="Calibri"/>
    </font>
    <font>
      <b/>
      <sz val="18"/>
      <color rgb="FF00B05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22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2" fontId="6" fillId="2" borderId="4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164" fontId="6" fillId="2" borderId="3" xfId="0" applyNumberFormat="1" applyFont="1" applyFill="1" applyBorder="1" applyAlignment="1">
      <alignment vertical="center"/>
    </xf>
    <xf numFmtId="18" fontId="6" fillId="2" borderId="3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18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22" fontId="9" fillId="0" borderId="0" xfId="0" applyNumberFormat="1" applyFont="1" applyAlignment="1">
      <alignment vertical="center" wrapText="1"/>
    </xf>
    <xf numFmtId="1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0" fillId="3" borderId="3" xfId="0" applyFont="1" applyFill="1" applyBorder="1" applyAlignment="1">
      <alignment horizontal="center"/>
    </xf>
    <xf numFmtId="0" fontId="10" fillId="3" borderId="3" xfId="0" applyFont="1" applyFill="1" applyBorder="1"/>
    <xf numFmtId="49" fontId="10" fillId="3" borderId="3" xfId="0" applyNumberFormat="1" applyFont="1" applyFill="1" applyBorder="1"/>
    <xf numFmtId="164" fontId="6" fillId="3" borderId="3" xfId="0" applyNumberFormat="1" applyFont="1" applyFill="1" applyBorder="1"/>
    <xf numFmtId="0" fontId="6" fillId="3" borderId="3" xfId="0" applyFont="1" applyFill="1" applyBorder="1"/>
    <xf numFmtId="46" fontId="6" fillId="3" borderId="3" xfId="0" applyNumberFormat="1" applyFont="1" applyFill="1" applyBorder="1" applyAlignment="1">
      <alignment horizontal="left"/>
    </xf>
    <xf numFmtId="18" fontId="6" fillId="3" borderId="3" xfId="0" applyNumberFormat="1" applyFont="1" applyFill="1" applyBorder="1"/>
    <xf numFmtId="165" fontId="6" fillId="3" borderId="3" xfId="0" applyNumberFormat="1" applyFont="1" applyFill="1" applyBorder="1"/>
    <xf numFmtId="166" fontId="6" fillId="3" borderId="3" xfId="0" applyNumberFormat="1" applyFont="1" applyFill="1" applyBorder="1"/>
    <xf numFmtId="167" fontId="6" fillId="3" borderId="3" xfId="0" applyNumberFormat="1" applyFont="1" applyFill="1" applyBorder="1"/>
    <xf numFmtId="0" fontId="6" fillId="0" borderId="3" xfId="0" applyFont="1" applyBorder="1"/>
    <xf numFmtId="49" fontId="6" fillId="0" borderId="3" xfId="0" applyNumberFormat="1" applyFont="1" applyBorder="1"/>
    <xf numFmtId="0" fontId="6" fillId="0" borderId="0" xfId="0" applyFont="1"/>
    <xf numFmtId="0" fontId="12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 wrapText="1"/>
    </xf>
    <xf numFmtId="164" fontId="6" fillId="3" borderId="3" xfId="0" applyNumberFormat="1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21" fontId="6" fillId="0" borderId="3" xfId="0" applyNumberFormat="1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164" fontId="6" fillId="4" borderId="4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22" fontId="6" fillId="4" borderId="4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164" fontId="6" fillId="4" borderId="4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6" fillId="0" borderId="5" xfId="0" applyFont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49" fontId="10" fillId="3" borderId="5" xfId="0" applyNumberFormat="1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0</xdr:rowOff>
    </xdr:from>
    <xdr:ext cx="6134100" cy="401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83713" y="1779750"/>
          <a:ext cx="6124575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 and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12:34:56 (depends on the current date and 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TODAY()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=TODAY()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=TODAY()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(depends on the current date)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561975</xdr:colOff>
      <xdr:row>1</xdr:row>
      <xdr:rowOff>0</xdr:rowOff>
    </xdr:from>
    <xdr:ext cx="5791200" cy="3962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5163" y="1798800"/>
          <a:ext cx="5781675" cy="39624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3.DATE(year, month, day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valid date (useful for combining separate Y/M/D fields)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</a:t>
          </a:r>
          <a:r>
            <a:rPr lang="en-US" sz="1400" b="0" i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=DATE(year, month, day)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=DATE(2025,01,2)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02-01-2025</a:t>
          </a:r>
          <a:endParaRPr sz="12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u="none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u="none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4.TIME(hour, minute, second)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time value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=TIME(14,30,0) (2:30 PM)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142875</xdr:rowOff>
    </xdr:from>
    <xdr:ext cx="5705475" cy="401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498025" y="1779750"/>
          <a:ext cx="5695950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HOUR()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hour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=HOUR(time)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=HOUR("12:34:56")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12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 MINUTE()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minute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=MINUTE(time)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=MINUTE("12:34:56")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34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0</xdr:colOff>
      <xdr:row>2</xdr:row>
      <xdr:rowOff>0</xdr:rowOff>
    </xdr:from>
    <xdr:ext cx="5705475" cy="3962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2498025" y="1798800"/>
          <a:ext cx="5695950" cy="39624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8. SECOND()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second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=SECOND(time)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=SECOND("12:34:56")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56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9.DAY()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Extracts the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 (1–31)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=DAY(serial_number)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10.YEAR()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=YEAR(serial_number)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1</xdr:row>
      <xdr:rowOff>133350</xdr:rowOff>
    </xdr:from>
    <xdr:ext cx="5715000" cy="401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493263" y="1779750"/>
          <a:ext cx="5705475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11.NETWORKDAYS(start_date, end_date)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number of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working days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between two dates (excludes Saturdays and Sundays).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12.EDATE(start_date, months)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same date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after or before a given number of months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=EDATE(start_date, months)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start_date: The initial date.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months: The number of months before (negative) or after (positive) the start date.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3)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2025-04-02 (3 months after the given date)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-3)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2024-10-02 (3 months before the given date)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/>
  <cols>
    <col min="1" max="3" width="9.109375" customWidth="1"/>
    <col min="4" max="4" width="22.5546875" customWidth="1"/>
    <col min="5" max="5" width="14.6640625" customWidth="1"/>
    <col min="6" max="6" width="13.33203125" customWidth="1"/>
    <col min="7" max="7" width="13" customWidth="1"/>
    <col min="8" max="8" width="19.33203125" customWidth="1"/>
    <col min="9" max="26" width="9.109375" customWidth="1"/>
  </cols>
  <sheetData>
    <row r="1" spans="1:26" ht="23.4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.5" customHeight="1"/>
    <row r="4" spans="1:26" ht="33" customHeight="1">
      <c r="C4" s="3"/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</row>
    <row r="5" spans="1:26" ht="18">
      <c r="C5" s="5"/>
      <c r="D5" s="5"/>
      <c r="E5" s="5"/>
      <c r="F5" s="5"/>
      <c r="G5" s="5"/>
      <c r="H5" s="5"/>
    </row>
    <row r="6" spans="1:26" ht="33" customHeight="1">
      <c r="C6" s="3"/>
      <c r="D6" s="6" t="s">
        <v>6</v>
      </c>
      <c r="E6" s="6" t="s">
        <v>7</v>
      </c>
      <c r="F6" s="4" t="s">
        <v>8</v>
      </c>
      <c r="G6" s="4" t="s">
        <v>9</v>
      </c>
      <c r="H6" s="7" t="s">
        <v>10</v>
      </c>
      <c r="I6" s="5"/>
      <c r="J6" s="5"/>
      <c r="K6" s="5"/>
      <c r="L6" s="8"/>
    </row>
    <row r="7" spans="1:26" ht="18">
      <c r="I7" s="5"/>
      <c r="J7" s="5"/>
      <c r="K7" s="5"/>
      <c r="L7" s="8"/>
    </row>
    <row r="8" spans="1:26" ht="40.5" customHeight="1">
      <c r="D8" s="9" t="s">
        <v>11</v>
      </c>
      <c r="I8" s="5"/>
      <c r="J8" s="5"/>
      <c r="K8" s="5"/>
      <c r="L8" s="8"/>
    </row>
    <row r="9" spans="1:26" ht="18">
      <c r="C9" s="5"/>
      <c r="D9" s="5"/>
      <c r="E9" s="5"/>
      <c r="F9" s="5"/>
      <c r="G9" s="5"/>
      <c r="H9" s="5"/>
      <c r="I9" s="5"/>
      <c r="J9" s="5"/>
      <c r="K9" s="5"/>
      <c r="L9" s="8"/>
    </row>
    <row r="10" spans="1:26" ht="36.75" customHeight="1">
      <c r="C10" s="5"/>
      <c r="D10" s="10"/>
      <c r="E10" s="5"/>
      <c r="F10" s="5"/>
      <c r="G10" s="5"/>
      <c r="H10" s="5"/>
      <c r="I10" s="5"/>
      <c r="J10" s="5"/>
      <c r="K10" s="5"/>
      <c r="L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T1000"/>
  <sheetViews>
    <sheetView workbookViewId="0"/>
  </sheetViews>
  <sheetFormatPr defaultColWidth="14.44140625" defaultRowHeight="15" customHeight="1"/>
  <cols>
    <col min="1" max="7" width="9.109375" customWidth="1"/>
    <col min="8" max="8" width="15.5546875" customWidth="1"/>
    <col min="9" max="9" width="9.109375" customWidth="1"/>
    <col min="10" max="10" width="10.44140625" customWidth="1"/>
    <col min="11" max="19" width="9.109375" customWidth="1"/>
    <col min="20" max="20" width="15.5546875" customWidth="1"/>
    <col min="21" max="26" width="9.109375" customWidth="1"/>
  </cols>
  <sheetData>
    <row r="1" spans="8:20" ht="14.4">
      <c r="H1" s="11"/>
      <c r="J1" s="12"/>
    </row>
    <row r="10" spans="8:20" ht="14.4">
      <c r="T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K4" sqref="K4:K18"/>
    </sheetView>
  </sheetViews>
  <sheetFormatPr defaultColWidth="14.44140625" defaultRowHeight="15" customHeight="1"/>
  <cols>
    <col min="1" max="1" width="8.6640625" customWidth="1"/>
    <col min="2" max="2" width="9.88671875" customWidth="1"/>
    <col min="3" max="3" width="11.6640625" customWidth="1"/>
    <col min="4" max="4" width="9.109375" customWidth="1"/>
    <col min="5" max="5" width="9" customWidth="1"/>
    <col min="6" max="6" width="8.6640625" customWidth="1"/>
    <col min="7" max="7" width="11" customWidth="1"/>
    <col min="8" max="8" width="11.109375" customWidth="1"/>
    <col min="9" max="9" width="10.44140625" customWidth="1"/>
    <col min="10" max="11" width="10.5546875" customWidth="1"/>
    <col min="12" max="12" width="86.44140625" customWidth="1"/>
    <col min="13" max="26" width="8.6640625" customWidth="1"/>
  </cols>
  <sheetData>
    <row r="1" spans="1:13" ht="23.4">
      <c r="C1" s="13" t="s">
        <v>12</v>
      </c>
      <c r="H1" s="12">
        <f ca="1">TODAY()</f>
        <v>46209</v>
      </c>
      <c r="J1" s="57" t="s">
        <v>13</v>
      </c>
      <c r="K1" s="56"/>
      <c r="L1" s="15">
        <f ca="1">NOW()</f>
        <v>46209.490024074075</v>
      </c>
    </row>
    <row r="3" spans="1:13" ht="43.2">
      <c r="A3" s="16" t="s">
        <v>14</v>
      </c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7" t="s">
        <v>22</v>
      </c>
      <c r="J3" s="17" t="s">
        <v>23</v>
      </c>
      <c r="K3" s="18" t="s">
        <v>24</v>
      </c>
    </row>
    <row r="4" spans="1:13" ht="18.75" customHeight="1">
      <c r="A4" s="19" t="s">
        <v>25</v>
      </c>
      <c r="B4" s="19">
        <v>2025</v>
      </c>
      <c r="C4" s="19">
        <v>6</v>
      </c>
      <c r="D4" s="19">
        <v>28</v>
      </c>
      <c r="E4" s="19">
        <v>8</v>
      </c>
      <c r="F4" s="19">
        <v>15</v>
      </c>
      <c r="G4" s="19">
        <v>0</v>
      </c>
      <c r="H4" s="20">
        <v>46295</v>
      </c>
      <c r="I4" s="21">
        <f>DATE(B4,C4,D4)</f>
        <v>45836</v>
      </c>
      <c r="J4" s="22">
        <f>TIME(E4,F4,G4)</f>
        <v>0.34375</v>
      </c>
      <c r="K4" s="66">
        <f ca="1">H4-TODAY()</f>
        <v>86</v>
      </c>
      <c r="L4" s="23" t="s">
        <v>26</v>
      </c>
      <c r="M4" s="24"/>
    </row>
    <row r="5" spans="1:13" ht="18.75" customHeight="1">
      <c r="A5" s="19" t="s">
        <v>27</v>
      </c>
      <c r="B5" s="19">
        <v>2025</v>
      </c>
      <c r="C5" s="19">
        <v>6</v>
      </c>
      <c r="D5" s="19">
        <v>27</v>
      </c>
      <c r="E5" s="19">
        <v>9</v>
      </c>
      <c r="F5" s="19">
        <v>45</v>
      </c>
      <c r="G5" s="19">
        <v>30</v>
      </c>
      <c r="H5" s="20">
        <v>46296</v>
      </c>
      <c r="I5" s="21">
        <f t="shared" ref="I5:I18" si="0">DATE(B5,C5,D5)</f>
        <v>45835</v>
      </c>
      <c r="J5" s="22">
        <f t="shared" ref="J5:J18" si="1">TIME(E5,F5,G5)</f>
        <v>0.40659722222222222</v>
      </c>
      <c r="K5" s="66">
        <f t="shared" ref="K5:K18" ca="1" si="2">H5-TODAY()</f>
        <v>87</v>
      </c>
      <c r="L5" s="23" t="s">
        <v>28</v>
      </c>
      <c r="M5" s="25"/>
    </row>
    <row r="6" spans="1:13" ht="18.75" customHeight="1">
      <c r="A6" s="19" t="s">
        <v>29</v>
      </c>
      <c r="B6" s="19">
        <v>2025</v>
      </c>
      <c r="C6" s="19">
        <v>6</v>
      </c>
      <c r="D6" s="19">
        <v>26</v>
      </c>
      <c r="E6" s="19">
        <v>7</v>
      </c>
      <c r="F6" s="19">
        <v>0</v>
      </c>
      <c r="G6" s="19">
        <v>0</v>
      </c>
      <c r="H6" s="20">
        <v>46297</v>
      </c>
      <c r="I6" s="21">
        <f t="shared" si="0"/>
        <v>45834</v>
      </c>
      <c r="J6" s="22">
        <f t="shared" si="1"/>
        <v>0.29166666666666669</v>
      </c>
      <c r="K6" s="66">
        <f t="shared" ca="1" si="2"/>
        <v>88</v>
      </c>
      <c r="L6" s="23" t="s">
        <v>30</v>
      </c>
      <c r="M6" s="26"/>
    </row>
    <row r="7" spans="1:13" ht="14.4">
      <c r="A7" s="19" t="s">
        <v>31</v>
      </c>
      <c r="B7" s="19">
        <v>2025</v>
      </c>
      <c r="C7" s="19">
        <v>6</v>
      </c>
      <c r="D7" s="19">
        <v>25</v>
      </c>
      <c r="E7" s="19">
        <v>6</v>
      </c>
      <c r="F7" s="19">
        <v>30</v>
      </c>
      <c r="G7" s="19">
        <v>45</v>
      </c>
      <c r="H7" s="20">
        <v>46298</v>
      </c>
      <c r="I7" s="21">
        <f t="shared" si="0"/>
        <v>45833</v>
      </c>
      <c r="J7" s="22">
        <f t="shared" si="1"/>
        <v>0.27135416666666667</v>
      </c>
      <c r="K7" s="66">
        <f t="shared" ca="1" si="2"/>
        <v>89</v>
      </c>
      <c r="L7" s="23" t="s">
        <v>32</v>
      </c>
    </row>
    <row r="8" spans="1:13" ht="14.4">
      <c r="A8" s="19" t="s">
        <v>33</v>
      </c>
      <c r="B8" s="19">
        <v>2025</v>
      </c>
      <c r="C8" s="19">
        <v>6</v>
      </c>
      <c r="D8" s="19">
        <v>24</v>
      </c>
      <c r="E8" s="19">
        <v>10</v>
      </c>
      <c r="F8" s="19">
        <v>10</v>
      </c>
      <c r="G8" s="19">
        <v>0</v>
      </c>
      <c r="H8" s="20">
        <v>46299</v>
      </c>
      <c r="I8" s="21">
        <f t="shared" si="0"/>
        <v>45832</v>
      </c>
      <c r="J8" s="22">
        <f t="shared" si="1"/>
        <v>0.4236111111111111</v>
      </c>
      <c r="K8" s="66">
        <f t="shared" ca="1" si="2"/>
        <v>90</v>
      </c>
    </row>
    <row r="9" spans="1:13" ht="14.4">
      <c r="A9" s="19" t="s">
        <v>34</v>
      </c>
      <c r="B9" s="19">
        <v>2025</v>
      </c>
      <c r="C9" s="19">
        <v>6</v>
      </c>
      <c r="D9" s="19">
        <v>23</v>
      </c>
      <c r="E9" s="19">
        <v>8</v>
      </c>
      <c r="F9" s="19">
        <v>55</v>
      </c>
      <c r="G9" s="19">
        <v>20</v>
      </c>
      <c r="H9" s="20">
        <v>46300</v>
      </c>
      <c r="I9" s="21">
        <f t="shared" si="0"/>
        <v>45831</v>
      </c>
      <c r="J9" s="22">
        <f t="shared" si="1"/>
        <v>0.37175925925925923</v>
      </c>
      <c r="K9" s="66">
        <f t="shared" ca="1" si="2"/>
        <v>91</v>
      </c>
    </row>
    <row r="10" spans="1:13" ht="14.4">
      <c r="A10" s="19" t="s">
        <v>35</v>
      </c>
      <c r="B10" s="19">
        <v>2025</v>
      </c>
      <c r="C10" s="19">
        <v>6</v>
      </c>
      <c r="D10" s="19">
        <v>22</v>
      </c>
      <c r="E10" s="19">
        <v>9</v>
      </c>
      <c r="F10" s="19">
        <v>30</v>
      </c>
      <c r="G10" s="19">
        <v>15</v>
      </c>
      <c r="H10" s="20">
        <v>46301</v>
      </c>
      <c r="I10" s="21">
        <f t="shared" si="0"/>
        <v>45830</v>
      </c>
      <c r="J10" s="22">
        <f t="shared" si="1"/>
        <v>0.39600694444444445</v>
      </c>
      <c r="K10" s="66">
        <f t="shared" ca="1" si="2"/>
        <v>92</v>
      </c>
    </row>
    <row r="11" spans="1:13" ht="14.4">
      <c r="A11" s="19" t="s">
        <v>36</v>
      </c>
      <c r="B11" s="19">
        <v>2025</v>
      </c>
      <c r="C11" s="19">
        <v>6</v>
      </c>
      <c r="D11" s="19">
        <v>21</v>
      </c>
      <c r="E11" s="19">
        <v>7</v>
      </c>
      <c r="F11" s="19">
        <v>45</v>
      </c>
      <c r="G11" s="19">
        <v>0</v>
      </c>
      <c r="H11" s="20">
        <v>46302</v>
      </c>
      <c r="I11" s="21">
        <f t="shared" si="0"/>
        <v>45829</v>
      </c>
      <c r="J11" s="22">
        <f t="shared" si="1"/>
        <v>0.32291666666666669</v>
      </c>
      <c r="K11" s="66">
        <f t="shared" ca="1" si="2"/>
        <v>93</v>
      </c>
    </row>
    <row r="12" spans="1:13" ht="14.4">
      <c r="A12" s="19" t="s">
        <v>37</v>
      </c>
      <c r="B12" s="19">
        <v>2025</v>
      </c>
      <c r="C12" s="19">
        <v>6</v>
      </c>
      <c r="D12" s="19">
        <v>20</v>
      </c>
      <c r="E12" s="19">
        <v>6</v>
      </c>
      <c r="F12" s="19">
        <v>15</v>
      </c>
      <c r="G12" s="19">
        <v>30</v>
      </c>
      <c r="H12" s="20">
        <v>46303</v>
      </c>
      <c r="I12" s="21">
        <f t="shared" si="0"/>
        <v>45828</v>
      </c>
      <c r="J12" s="22">
        <f t="shared" si="1"/>
        <v>0.26076388888888891</v>
      </c>
      <c r="K12" s="66">
        <f t="shared" ca="1" si="2"/>
        <v>94</v>
      </c>
    </row>
    <row r="13" spans="1:13" ht="14.4">
      <c r="A13" s="19" t="s">
        <v>38</v>
      </c>
      <c r="B13" s="19">
        <v>2025</v>
      </c>
      <c r="C13" s="19">
        <v>6</v>
      </c>
      <c r="D13" s="19">
        <v>19</v>
      </c>
      <c r="E13" s="19">
        <v>8</v>
      </c>
      <c r="F13" s="19">
        <v>20</v>
      </c>
      <c r="G13" s="19">
        <v>45</v>
      </c>
      <c r="H13" s="20">
        <v>46304</v>
      </c>
      <c r="I13" s="21">
        <f t="shared" si="0"/>
        <v>45827</v>
      </c>
      <c r="J13" s="22">
        <f t="shared" si="1"/>
        <v>0.34774305555555557</v>
      </c>
      <c r="K13" s="66">
        <f t="shared" ca="1" si="2"/>
        <v>95</v>
      </c>
    </row>
    <row r="14" spans="1:13" ht="14.4">
      <c r="A14" s="19" t="s">
        <v>39</v>
      </c>
      <c r="B14" s="19">
        <v>2025</v>
      </c>
      <c r="C14" s="19">
        <v>6</v>
      </c>
      <c r="D14" s="19">
        <v>18</v>
      </c>
      <c r="E14" s="19">
        <v>10</v>
      </c>
      <c r="F14" s="19">
        <v>5</v>
      </c>
      <c r="G14" s="19">
        <v>0</v>
      </c>
      <c r="H14" s="20">
        <v>46305</v>
      </c>
      <c r="I14" s="21">
        <f t="shared" si="0"/>
        <v>45826</v>
      </c>
      <c r="J14" s="22">
        <f t="shared" si="1"/>
        <v>0.4201388888888889</v>
      </c>
      <c r="K14" s="66">
        <f t="shared" ca="1" si="2"/>
        <v>96</v>
      </c>
    </row>
    <row r="15" spans="1:13" ht="14.4">
      <c r="A15" s="19" t="s">
        <v>40</v>
      </c>
      <c r="B15" s="19">
        <v>2025</v>
      </c>
      <c r="C15" s="19">
        <v>6</v>
      </c>
      <c r="D15" s="19">
        <v>17</v>
      </c>
      <c r="E15" s="19">
        <v>9</v>
      </c>
      <c r="F15" s="19">
        <v>0</v>
      </c>
      <c r="G15" s="19">
        <v>30</v>
      </c>
      <c r="H15" s="20">
        <v>46306</v>
      </c>
      <c r="I15" s="21">
        <f t="shared" si="0"/>
        <v>45825</v>
      </c>
      <c r="J15" s="22">
        <f t="shared" si="1"/>
        <v>0.37534722222222222</v>
      </c>
      <c r="K15" s="66">
        <f t="shared" ca="1" si="2"/>
        <v>97</v>
      </c>
    </row>
    <row r="16" spans="1:13" ht="14.4">
      <c r="A16" s="19" t="s">
        <v>41</v>
      </c>
      <c r="B16" s="19">
        <v>2025</v>
      </c>
      <c r="C16" s="19">
        <v>6</v>
      </c>
      <c r="D16" s="19">
        <v>16</v>
      </c>
      <c r="E16" s="19">
        <v>7</v>
      </c>
      <c r="F16" s="19">
        <v>30</v>
      </c>
      <c r="G16" s="19">
        <v>0</v>
      </c>
      <c r="H16" s="20">
        <v>46307</v>
      </c>
      <c r="I16" s="21">
        <f t="shared" si="0"/>
        <v>45824</v>
      </c>
      <c r="J16" s="22">
        <f t="shared" si="1"/>
        <v>0.3125</v>
      </c>
      <c r="K16" s="66">
        <f t="shared" ca="1" si="2"/>
        <v>98</v>
      </c>
    </row>
    <row r="17" spans="1:11" ht="14.4">
      <c r="A17" s="19" t="s">
        <v>42</v>
      </c>
      <c r="B17" s="19">
        <v>2025</v>
      </c>
      <c r="C17" s="19">
        <v>6</v>
      </c>
      <c r="D17" s="19">
        <v>15</v>
      </c>
      <c r="E17" s="19">
        <v>6</v>
      </c>
      <c r="F17" s="19">
        <v>50</v>
      </c>
      <c r="G17" s="19">
        <v>15</v>
      </c>
      <c r="H17" s="20">
        <v>46308</v>
      </c>
      <c r="I17" s="21">
        <f t="shared" si="0"/>
        <v>45823</v>
      </c>
      <c r="J17" s="22">
        <f t="shared" si="1"/>
        <v>0.28489583333333335</v>
      </c>
      <c r="K17" s="66">
        <f t="shared" ca="1" si="2"/>
        <v>99</v>
      </c>
    </row>
    <row r="18" spans="1:11" ht="14.4">
      <c r="A18" s="19" t="s">
        <v>43</v>
      </c>
      <c r="B18" s="19">
        <v>2025</v>
      </c>
      <c r="C18" s="19">
        <v>6</v>
      </c>
      <c r="D18" s="19">
        <v>14</v>
      </c>
      <c r="E18" s="19">
        <v>9</v>
      </c>
      <c r="F18" s="19">
        <v>10</v>
      </c>
      <c r="G18" s="19">
        <v>40</v>
      </c>
      <c r="H18" s="20">
        <v>46309</v>
      </c>
      <c r="I18" s="21">
        <f t="shared" si="0"/>
        <v>45822</v>
      </c>
      <c r="J18" s="22">
        <f t="shared" si="1"/>
        <v>0.38240740740740742</v>
      </c>
      <c r="K18" s="66">
        <f t="shared" ca="1" si="2"/>
        <v>100</v>
      </c>
    </row>
    <row r="19" spans="1:11" ht="14.4">
      <c r="H19" s="20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1000"/>
  <sheetViews>
    <sheetView workbookViewId="0">
      <selection activeCell="M4" sqref="M4:M18"/>
    </sheetView>
  </sheetViews>
  <sheetFormatPr defaultColWidth="14.44140625" defaultRowHeight="15" customHeight="1"/>
  <cols>
    <col min="1" max="2" width="8.6640625" customWidth="1"/>
    <col min="3" max="3" width="8.44140625" customWidth="1"/>
    <col min="4" max="4" width="10.44140625" customWidth="1"/>
    <col min="5" max="5" width="11.5546875" customWidth="1"/>
    <col min="6" max="26" width="8.6640625" customWidth="1"/>
  </cols>
  <sheetData>
    <row r="1" spans="3:13" ht="23.4">
      <c r="C1" s="13" t="s">
        <v>44</v>
      </c>
    </row>
    <row r="3" spans="3:13" ht="28.8">
      <c r="C3" s="16" t="s">
        <v>14</v>
      </c>
      <c r="D3" s="16" t="s">
        <v>45</v>
      </c>
      <c r="E3" s="16" t="s">
        <v>46</v>
      </c>
      <c r="F3" s="17" t="s">
        <v>47</v>
      </c>
      <c r="G3" s="17" t="s">
        <v>48</v>
      </c>
      <c r="H3" s="17" t="s">
        <v>49</v>
      </c>
      <c r="I3" s="17" t="s">
        <v>50</v>
      </c>
      <c r="J3" s="17" t="s">
        <v>51</v>
      </c>
      <c r="K3" s="17" t="s">
        <v>52</v>
      </c>
      <c r="L3" s="17" t="s">
        <v>53</v>
      </c>
      <c r="M3" s="17"/>
    </row>
    <row r="4" spans="3:13" ht="14.4">
      <c r="C4" s="19" t="s">
        <v>54</v>
      </c>
      <c r="D4" s="20">
        <v>45444</v>
      </c>
      <c r="E4" s="27">
        <v>0.34375</v>
      </c>
      <c r="F4" s="17">
        <f>DAY(D4)</f>
        <v>1</v>
      </c>
      <c r="G4" s="17">
        <f>YEAR(D4)</f>
        <v>2024</v>
      </c>
      <c r="H4" s="17">
        <f>MONTH(D4)</f>
        <v>6</v>
      </c>
      <c r="I4" s="17">
        <f>HOUR(E4)</f>
        <v>8</v>
      </c>
      <c r="J4" s="17">
        <f>MINUTE(E4)</f>
        <v>15</v>
      </c>
      <c r="K4" s="17">
        <f>SECOND(E4)</f>
        <v>0</v>
      </c>
      <c r="L4" s="17" t="str">
        <f>TEXT(D4,"dddd")</f>
        <v>Saturday</v>
      </c>
      <c r="M4" s="17" t="str">
        <f>TEXT(D4,"mmmm")</f>
        <v>June</v>
      </c>
    </row>
    <row r="5" spans="3:13" ht="14.4">
      <c r="C5" s="19" t="s">
        <v>55</v>
      </c>
      <c r="D5" s="20">
        <v>45810</v>
      </c>
      <c r="E5" s="27">
        <v>0.39606481481481487</v>
      </c>
      <c r="F5" s="17">
        <f t="shared" ref="F5:F18" si="0">DAY(D5)</f>
        <v>2</v>
      </c>
      <c r="G5" s="17">
        <f t="shared" ref="G5:G18" si="1">YEAR(D5)</f>
        <v>2025</v>
      </c>
      <c r="H5" s="17">
        <f t="shared" ref="H5:H18" si="2">MONTH(D5)</f>
        <v>6</v>
      </c>
      <c r="I5" s="17">
        <f t="shared" ref="I5:I18" si="3">HOUR(E5)</f>
        <v>9</v>
      </c>
      <c r="J5" s="17">
        <f t="shared" ref="J5:J18" si="4">MINUTE(E5)</f>
        <v>30</v>
      </c>
      <c r="K5" s="17">
        <f t="shared" ref="K5:K18" si="5">SECOND(E5)</f>
        <v>20</v>
      </c>
      <c r="L5" s="17" t="str">
        <f t="shared" ref="L5:L18" si="6">TEXT(D5,"dddd")</f>
        <v>Monday</v>
      </c>
      <c r="M5" s="17" t="str">
        <f t="shared" ref="M5:M18" si="7">TEXT(D5,"mmmm")</f>
        <v>June</v>
      </c>
    </row>
    <row r="6" spans="3:13" ht="14.4">
      <c r="C6" s="19" t="s">
        <v>56</v>
      </c>
      <c r="D6" s="20">
        <v>44715</v>
      </c>
      <c r="E6" s="27">
        <v>0.29166666666666669</v>
      </c>
      <c r="F6" s="17">
        <f t="shared" si="0"/>
        <v>3</v>
      </c>
      <c r="G6" s="17">
        <f t="shared" si="1"/>
        <v>2022</v>
      </c>
      <c r="H6" s="17">
        <f t="shared" si="2"/>
        <v>6</v>
      </c>
      <c r="I6" s="17">
        <f t="shared" si="3"/>
        <v>7</v>
      </c>
      <c r="J6" s="17">
        <f t="shared" si="4"/>
        <v>0</v>
      </c>
      <c r="K6" s="17">
        <f t="shared" si="5"/>
        <v>0</v>
      </c>
      <c r="L6" s="17" t="str">
        <f t="shared" si="6"/>
        <v>Friday</v>
      </c>
      <c r="M6" s="17" t="str">
        <f t="shared" si="7"/>
        <v>June</v>
      </c>
    </row>
    <row r="7" spans="3:13" ht="14.4">
      <c r="C7" s="19" t="s">
        <v>57</v>
      </c>
      <c r="D7" s="20">
        <v>45812</v>
      </c>
      <c r="E7" s="27">
        <v>0.28136574074074078</v>
      </c>
      <c r="F7" s="17">
        <f t="shared" si="0"/>
        <v>4</v>
      </c>
      <c r="G7" s="17">
        <f t="shared" si="1"/>
        <v>2025</v>
      </c>
      <c r="H7" s="17">
        <f t="shared" si="2"/>
        <v>6</v>
      </c>
      <c r="I7" s="17">
        <f t="shared" si="3"/>
        <v>6</v>
      </c>
      <c r="J7" s="17">
        <f t="shared" si="4"/>
        <v>45</v>
      </c>
      <c r="K7" s="17">
        <f t="shared" si="5"/>
        <v>10</v>
      </c>
      <c r="L7" s="17" t="str">
        <f t="shared" si="6"/>
        <v>Wednesday</v>
      </c>
      <c r="M7" s="17" t="str">
        <f t="shared" si="7"/>
        <v>June</v>
      </c>
    </row>
    <row r="8" spans="3:13" ht="14.4">
      <c r="C8" s="19" t="s">
        <v>58</v>
      </c>
      <c r="D8" s="20">
        <v>45813</v>
      </c>
      <c r="E8" s="27">
        <v>0.41666666666666669</v>
      </c>
      <c r="F8" s="17">
        <f t="shared" si="0"/>
        <v>5</v>
      </c>
      <c r="G8" s="17">
        <f t="shared" si="1"/>
        <v>2025</v>
      </c>
      <c r="H8" s="17">
        <f t="shared" si="2"/>
        <v>6</v>
      </c>
      <c r="I8" s="17">
        <f t="shared" si="3"/>
        <v>10</v>
      </c>
      <c r="J8" s="17">
        <f t="shared" si="4"/>
        <v>0</v>
      </c>
      <c r="K8" s="17">
        <f t="shared" si="5"/>
        <v>0</v>
      </c>
      <c r="L8" s="17" t="str">
        <f t="shared" si="6"/>
        <v>Thursday</v>
      </c>
      <c r="M8" s="17" t="str">
        <f t="shared" si="7"/>
        <v>June</v>
      </c>
    </row>
    <row r="9" spans="3:13" ht="14.4">
      <c r="C9" s="19" t="s">
        <v>59</v>
      </c>
      <c r="D9" s="20">
        <v>45814</v>
      </c>
      <c r="E9" s="27">
        <v>0.4758680555555555</v>
      </c>
      <c r="F9" s="17">
        <f t="shared" si="0"/>
        <v>6</v>
      </c>
      <c r="G9" s="17">
        <f t="shared" si="1"/>
        <v>2025</v>
      </c>
      <c r="H9" s="17">
        <f t="shared" si="2"/>
        <v>6</v>
      </c>
      <c r="I9" s="17">
        <f t="shared" si="3"/>
        <v>11</v>
      </c>
      <c r="J9" s="17">
        <f t="shared" si="4"/>
        <v>25</v>
      </c>
      <c r="K9" s="17">
        <f t="shared" si="5"/>
        <v>15</v>
      </c>
      <c r="L9" s="17" t="str">
        <f t="shared" si="6"/>
        <v>Friday</v>
      </c>
      <c r="M9" s="17" t="str">
        <f t="shared" si="7"/>
        <v>June</v>
      </c>
    </row>
    <row r="10" spans="3:13" ht="14.4">
      <c r="C10" s="19" t="s">
        <v>60</v>
      </c>
      <c r="D10" s="20">
        <v>45815</v>
      </c>
      <c r="E10" s="27">
        <v>0.52083333333333337</v>
      </c>
      <c r="F10" s="17">
        <f t="shared" si="0"/>
        <v>7</v>
      </c>
      <c r="G10" s="17">
        <f t="shared" si="1"/>
        <v>2025</v>
      </c>
      <c r="H10" s="17">
        <f t="shared" si="2"/>
        <v>6</v>
      </c>
      <c r="I10" s="17">
        <f t="shared" si="3"/>
        <v>12</v>
      </c>
      <c r="J10" s="17">
        <f t="shared" si="4"/>
        <v>30</v>
      </c>
      <c r="K10" s="17">
        <f t="shared" si="5"/>
        <v>0</v>
      </c>
      <c r="L10" s="17" t="str">
        <f t="shared" si="6"/>
        <v>Saturday</v>
      </c>
      <c r="M10" s="17" t="str">
        <f t="shared" si="7"/>
        <v>June</v>
      </c>
    </row>
    <row r="11" spans="3:13" ht="14.4">
      <c r="C11" s="19" t="s">
        <v>61</v>
      </c>
      <c r="D11" s="20">
        <v>44355</v>
      </c>
      <c r="E11" s="27">
        <v>0.54913194444444446</v>
      </c>
      <c r="F11" s="17">
        <f t="shared" si="0"/>
        <v>8</v>
      </c>
      <c r="G11" s="17">
        <f t="shared" si="1"/>
        <v>2021</v>
      </c>
      <c r="H11" s="17">
        <f t="shared" si="2"/>
        <v>6</v>
      </c>
      <c r="I11" s="17">
        <f t="shared" si="3"/>
        <v>13</v>
      </c>
      <c r="J11" s="17">
        <f t="shared" si="4"/>
        <v>10</v>
      </c>
      <c r="K11" s="17">
        <f t="shared" si="5"/>
        <v>45</v>
      </c>
      <c r="L11" s="17" t="str">
        <f t="shared" si="6"/>
        <v>Tuesday</v>
      </c>
      <c r="M11" s="17" t="str">
        <f t="shared" si="7"/>
        <v>June</v>
      </c>
    </row>
    <row r="12" spans="3:13" ht="14.4">
      <c r="C12" s="19" t="s">
        <v>62</v>
      </c>
      <c r="D12" s="20">
        <v>45086</v>
      </c>
      <c r="E12" s="27">
        <v>0.58333333333333337</v>
      </c>
      <c r="F12" s="17">
        <f t="shared" si="0"/>
        <v>9</v>
      </c>
      <c r="G12" s="17">
        <f t="shared" si="1"/>
        <v>2023</v>
      </c>
      <c r="H12" s="17">
        <f t="shared" si="2"/>
        <v>6</v>
      </c>
      <c r="I12" s="17">
        <f t="shared" si="3"/>
        <v>14</v>
      </c>
      <c r="J12" s="17">
        <f t="shared" si="4"/>
        <v>0</v>
      </c>
      <c r="K12" s="17">
        <f t="shared" si="5"/>
        <v>0</v>
      </c>
      <c r="L12" s="17" t="str">
        <f t="shared" si="6"/>
        <v>Friday</v>
      </c>
      <c r="M12" s="17" t="str">
        <f t="shared" si="7"/>
        <v>June</v>
      </c>
    </row>
    <row r="13" spans="3:13" ht="14.4">
      <c r="C13" s="19" t="s">
        <v>63</v>
      </c>
      <c r="D13" s="20">
        <v>45818</v>
      </c>
      <c r="E13" s="27">
        <v>0.63576388888888891</v>
      </c>
      <c r="F13" s="17">
        <f t="shared" si="0"/>
        <v>10</v>
      </c>
      <c r="G13" s="17">
        <f t="shared" si="1"/>
        <v>2025</v>
      </c>
      <c r="H13" s="17">
        <f t="shared" si="2"/>
        <v>6</v>
      </c>
      <c r="I13" s="17">
        <f t="shared" si="3"/>
        <v>15</v>
      </c>
      <c r="J13" s="17">
        <f t="shared" si="4"/>
        <v>15</v>
      </c>
      <c r="K13" s="17">
        <f t="shared" si="5"/>
        <v>30</v>
      </c>
      <c r="L13" s="17" t="str">
        <f t="shared" si="6"/>
        <v>Tuesday</v>
      </c>
      <c r="M13" s="17" t="str">
        <f t="shared" si="7"/>
        <v>June</v>
      </c>
    </row>
    <row r="14" spans="3:13" ht="14.4">
      <c r="C14" s="19" t="s">
        <v>64</v>
      </c>
      <c r="D14" s="20">
        <v>44358</v>
      </c>
      <c r="E14" s="27">
        <v>0.69791666666666663</v>
      </c>
      <c r="F14" s="17">
        <f t="shared" si="0"/>
        <v>11</v>
      </c>
      <c r="G14" s="17">
        <f t="shared" si="1"/>
        <v>2021</v>
      </c>
      <c r="H14" s="17">
        <f t="shared" si="2"/>
        <v>6</v>
      </c>
      <c r="I14" s="17">
        <f t="shared" si="3"/>
        <v>16</v>
      </c>
      <c r="J14" s="17">
        <f t="shared" si="4"/>
        <v>45</v>
      </c>
      <c r="K14" s="17">
        <f t="shared" si="5"/>
        <v>0</v>
      </c>
      <c r="L14" s="17" t="str">
        <f t="shared" si="6"/>
        <v>Friday</v>
      </c>
      <c r="M14" s="17" t="str">
        <f t="shared" si="7"/>
        <v>June</v>
      </c>
    </row>
    <row r="15" spans="3:13" ht="14.4">
      <c r="C15" s="19" t="s">
        <v>65</v>
      </c>
      <c r="D15" s="20">
        <v>43994</v>
      </c>
      <c r="E15" s="27">
        <v>0.71556712962962965</v>
      </c>
      <c r="F15" s="17">
        <f t="shared" si="0"/>
        <v>12</v>
      </c>
      <c r="G15" s="17">
        <f t="shared" si="1"/>
        <v>2020</v>
      </c>
      <c r="H15" s="17">
        <f t="shared" si="2"/>
        <v>6</v>
      </c>
      <c r="I15" s="17">
        <f t="shared" si="3"/>
        <v>17</v>
      </c>
      <c r="J15" s="17">
        <f t="shared" si="4"/>
        <v>10</v>
      </c>
      <c r="K15" s="17">
        <f t="shared" si="5"/>
        <v>25</v>
      </c>
      <c r="L15" s="17" t="str">
        <f t="shared" si="6"/>
        <v>Friday</v>
      </c>
      <c r="M15" s="17" t="str">
        <f t="shared" si="7"/>
        <v>June</v>
      </c>
    </row>
    <row r="16" spans="3:13" ht="14.4">
      <c r="C16" s="19" t="s">
        <v>66</v>
      </c>
      <c r="D16" s="20">
        <v>43995</v>
      </c>
      <c r="E16" s="27">
        <v>0.77430555555555547</v>
      </c>
      <c r="F16" s="17">
        <f t="shared" si="0"/>
        <v>13</v>
      </c>
      <c r="G16" s="17">
        <f t="shared" si="1"/>
        <v>2020</v>
      </c>
      <c r="H16" s="17">
        <f t="shared" si="2"/>
        <v>6</v>
      </c>
      <c r="I16" s="17">
        <f t="shared" si="3"/>
        <v>18</v>
      </c>
      <c r="J16" s="17">
        <f t="shared" si="4"/>
        <v>35</v>
      </c>
      <c r="K16" s="17">
        <f t="shared" si="5"/>
        <v>0</v>
      </c>
      <c r="L16" s="17" t="str">
        <f t="shared" si="6"/>
        <v>Saturday</v>
      </c>
      <c r="M16" s="17" t="str">
        <f t="shared" si="7"/>
        <v>June</v>
      </c>
    </row>
    <row r="17" spans="3:13" ht="14.4">
      <c r="C17" s="19" t="s">
        <v>67</v>
      </c>
      <c r="D17" s="20">
        <v>43265</v>
      </c>
      <c r="E17" s="27">
        <v>0.82650462962962967</v>
      </c>
      <c r="F17" s="17">
        <f t="shared" si="0"/>
        <v>14</v>
      </c>
      <c r="G17" s="17">
        <f t="shared" si="1"/>
        <v>2018</v>
      </c>
      <c r="H17" s="17">
        <f t="shared" si="2"/>
        <v>6</v>
      </c>
      <c r="I17" s="17">
        <f t="shared" si="3"/>
        <v>19</v>
      </c>
      <c r="J17" s="17">
        <f t="shared" si="4"/>
        <v>50</v>
      </c>
      <c r="K17" s="17">
        <f t="shared" si="5"/>
        <v>10</v>
      </c>
      <c r="L17" s="17" t="str">
        <f t="shared" si="6"/>
        <v>Thursday</v>
      </c>
      <c r="M17" s="17" t="str">
        <f t="shared" si="7"/>
        <v>June</v>
      </c>
    </row>
    <row r="18" spans="3:13" ht="14.4">
      <c r="C18" s="19" t="s">
        <v>68</v>
      </c>
      <c r="D18" s="20">
        <v>45823</v>
      </c>
      <c r="E18" s="27">
        <v>0.83715277777777775</v>
      </c>
      <c r="F18" s="17">
        <f t="shared" si="0"/>
        <v>15</v>
      </c>
      <c r="G18" s="17">
        <f t="shared" si="1"/>
        <v>2025</v>
      </c>
      <c r="H18" s="17">
        <f t="shared" si="2"/>
        <v>6</v>
      </c>
      <c r="I18" s="17">
        <f t="shared" si="3"/>
        <v>20</v>
      </c>
      <c r="J18" s="17">
        <f t="shared" si="4"/>
        <v>5</v>
      </c>
      <c r="K18" s="17">
        <f t="shared" si="5"/>
        <v>30</v>
      </c>
      <c r="L18" s="17" t="str">
        <f t="shared" si="6"/>
        <v>Sunday</v>
      </c>
      <c r="M18" s="17" t="str">
        <f t="shared" si="7"/>
        <v>June</v>
      </c>
    </row>
    <row r="21" spans="3:13" ht="15.75" customHeight="1"/>
    <row r="22" spans="3:13" ht="15.75" customHeight="1"/>
    <row r="23" spans="3:13" ht="15.75" customHeight="1"/>
    <row r="24" spans="3:13" ht="15.75" customHeight="1"/>
    <row r="25" spans="3:13" ht="15.75" customHeight="1"/>
    <row r="26" spans="3:13" ht="15.75" customHeight="1"/>
    <row r="27" spans="3:13" ht="15.75" customHeight="1"/>
    <row r="28" spans="3:13" ht="15.75" customHeight="1"/>
    <row r="29" spans="3:13" ht="15.75" customHeight="1"/>
    <row r="30" spans="3:13" ht="15.75" customHeight="1"/>
    <row r="31" spans="3:13" ht="15.75" customHeight="1"/>
    <row r="32" spans="3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O1000"/>
  <sheetViews>
    <sheetView workbookViewId="0">
      <selection activeCell="H5" sqref="H5:H14"/>
    </sheetView>
  </sheetViews>
  <sheetFormatPr defaultColWidth="14.44140625" defaultRowHeight="15" customHeight="1"/>
  <cols>
    <col min="1" max="2" width="8.6640625" customWidth="1"/>
    <col min="3" max="3" width="8.44140625" customWidth="1"/>
    <col min="4" max="5" width="10.44140625" customWidth="1"/>
    <col min="6" max="6" width="8.88671875" customWidth="1"/>
    <col min="7" max="7" width="8.6640625" customWidth="1"/>
    <col min="8" max="8" width="10.44140625" customWidth="1"/>
    <col min="9" max="26" width="8.6640625" customWidth="1"/>
  </cols>
  <sheetData>
    <row r="1" spans="3:15" ht="23.4">
      <c r="C1" s="13" t="s">
        <v>69</v>
      </c>
    </row>
    <row r="3" spans="3:15" ht="14.4">
      <c r="I3" s="58" t="s">
        <v>70</v>
      </c>
      <c r="J3" s="56"/>
      <c r="K3" s="56"/>
      <c r="L3" s="56"/>
      <c r="M3" s="56"/>
      <c r="N3" s="56"/>
      <c r="O3" s="56"/>
    </row>
    <row r="4" spans="3:15" ht="57.6">
      <c r="C4" s="16" t="s">
        <v>14</v>
      </c>
      <c r="D4" s="16" t="s">
        <v>71</v>
      </c>
      <c r="E4" s="16" t="s">
        <v>72</v>
      </c>
      <c r="F4" s="16" t="s">
        <v>73</v>
      </c>
      <c r="G4" s="18" t="s">
        <v>74</v>
      </c>
      <c r="H4" s="18" t="s">
        <v>75</v>
      </c>
    </row>
    <row r="5" spans="3:15" ht="14.4">
      <c r="C5" s="19" t="s">
        <v>25</v>
      </c>
      <c r="D5" s="20">
        <v>45809</v>
      </c>
      <c r="E5" s="20">
        <v>45818</v>
      </c>
      <c r="F5" s="19">
        <v>2</v>
      </c>
      <c r="G5" s="17">
        <f>NETWORKDAYS(D5,E5)</f>
        <v>7</v>
      </c>
      <c r="H5" s="21">
        <f>EDATE(D5,F5)</f>
        <v>45870</v>
      </c>
      <c r="K5" s="14" t="s">
        <v>76</v>
      </c>
    </row>
    <row r="6" spans="3:15" ht="14.4">
      <c r="C6" s="19" t="s">
        <v>27</v>
      </c>
      <c r="D6" s="20">
        <v>45811</v>
      </c>
      <c r="E6" s="20">
        <v>45822</v>
      </c>
      <c r="F6" s="19">
        <v>1</v>
      </c>
      <c r="G6" s="17">
        <f t="shared" ref="G6:G14" si="0">NETWORKDAYS(D6,E6)</f>
        <v>9</v>
      </c>
      <c r="H6" s="21">
        <f t="shared" ref="H6:H14" si="1">EDATE(D6,F6)</f>
        <v>45841</v>
      </c>
      <c r="K6" s="14" t="s">
        <v>77</v>
      </c>
    </row>
    <row r="7" spans="3:15" ht="23.4">
      <c r="C7" s="19" t="s">
        <v>29</v>
      </c>
      <c r="D7" s="20">
        <v>45813</v>
      </c>
      <c r="E7" s="20">
        <v>45828</v>
      </c>
      <c r="F7" s="19">
        <v>3</v>
      </c>
      <c r="G7" s="17">
        <f t="shared" si="0"/>
        <v>12</v>
      </c>
      <c r="H7" s="21">
        <f t="shared" si="1"/>
        <v>45905</v>
      </c>
      <c r="J7" s="13"/>
    </row>
    <row r="8" spans="3:15" ht="14.4">
      <c r="C8" s="19" t="s">
        <v>31</v>
      </c>
      <c r="D8" s="20">
        <v>45816</v>
      </c>
      <c r="E8" s="20">
        <v>45830</v>
      </c>
      <c r="F8" s="19">
        <v>1</v>
      </c>
      <c r="G8" s="17">
        <f t="shared" si="0"/>
        <v>10</v>
      </c>
      <c r="H8" s="21">
        <f t="shared" si="1"/>
        <v>45846</v>
      </c>
    </row>
    <row r="9" spans="3:15" ht="14.4">
      <c r="C9" s="19" t="s">
        <v>33</v>
      </c>
      <c r="D9" s="20">
        <v>45818</v>
      </c>
      <c r="E9" s="20">
        <v>45833</v>
      </c>
      <c r="F9" s="19">
        <v>4</v>
      </c>
      <c r="G9" s="17">
        <f t="shared" si="0"/>
        <v>12</v>
      </c>
      <c r="H9" s="21">
        <f t="shared" si="1"/>
        <v>45940</v>
      </c>
    </row>
    <row r="10" spans="3:15" ht="14.4">
      <c r="C10" s="19" t="s">
        <v>34</v>
      </c>
      <c r="D10" s="20">
        <v>45820</v>
      </c>
      <c r="E10" s="20">
        <v>45838</v>
      </c>
      <c r="F10" s="19">
        <v>2</v>
      </c>
      <c r="G10" s="17">
        <f t="shared" si="0"/>
        <v>13</v>
      </c>
      <c r="H10" s="21">
        <f t="shared" si="1"/>
        <v>45881</v>
      </c>
    </row>
    <row r="11" spans="3:15" ht="14.4">
      <c r="C11" s="19" t="s">
        <v>35</v>
      </c>
      <c r="D11" s="20">
        <v>45823</v>
      </c>
      <c r="E11" s="20">
        <v>45836</v>
      </c>
      <c r="F11" s="19">
        <v>1</v>
      </c>
      <c r="G11" s="17">
        <f t="shared" si="0"/>
        <v>10</v>
      </c>
      <c r="H11" s="21">
        <f t="shared" si="1"/>
        <v>45853</v>
      </c>
    </row>
    <row r="12" spans="3:15" ht="14.4">
      <c r="C12" s="19" t="s">
        <v>36</v>
      </c>
      <c r="D12" s="20">
        <v>45826</v>
      </c>
      <c r="E12" s="20">
        <v>45838</v>
      </c>
      <c r="F12" s="19">
        <v>2</v>
      </c>
      <c r="G12" s="17">
        <f t="shared" si="0"/>
        <v>9</v>
      </c>
      <c r="H12" s="21">
        <f t="shared" si="1"/>
        <v>45887</v>
      </c>
    </row>
    <row r="13" spans="3:15" ht="14.4">
      <c r="C13" s="19" t="s">
        <v>37</v>
      </c>
      <c r="D13" s="20">
        <v>45828</v>
      </c>
      <c r="E13" s="20">
        <v>45843</v>
      </c>
      <c r="F13" s="19">
        <v>3</v>
      </c>
      <c r="G13" s="17">
        <f t="shared" si="0"/>
        <v>11</v>
      </c>
      <c r="H13" s="21">
        <f t="shared" si="1"/>
        <v>45920</v>
      </c>
    </row>
    <row r="14" spans="3:15" ht="14.4">
      <c r="C14" s="19" t="s">
        <v>38</v>
      </c>
      <c r="D14" s="20">
        <v>45830</v>
      </c>
      <c r="E14" s="20">
        <v>45848</v>
      </c>
      <c r="F14" s="19">
        <v>1</v>
      </c>
      <c r="G14" s="17">
        <f t="shared" si="0"/>
        <v>14</v>
      </c>
      <c r="H14" s="21">
        <f t="shared" si="1"/>
        <v>45860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O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I14" sqref="I14:I17"/>
    </sheetView>
  </sheetViews>
  <sheetFormatPr defaultColWidth="14.44140625" defaultRowHeight="15" customHeight="1"/>
  <cols>
    <col min="1" max="1" width="11.6640625" customWidth="1"/>
    <col min="2" max="2" width="18.6640625" customWidth="1"/>
    <col min="3" max="3" width="13.88671875" customWidth="1"/>
    <col min="4" max="5" width="9.109375" customWidth="1"/>
    <col min="6" max="6" width="10.44140625" customWidth="1"/>
    <col min="7" max="9" width="9.109375" customWidth="1"/>
    <col min="10" max="10" width="10.5546875" customWidth="1"/>
    <col min="11" max="26" width="9.109375" customWidth="1"/>
  </cols>
  <sheetData>
    <row r="1" spans="1:26" ht="14.4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.4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6">
      <c r="A3" s="28"/>
      <c r="B3" s="29" t="s">
        <v>78</v>
      </c>
      <c r="C3" s="29" t="s">
        <v>79</v>
      </c>
      <c r="D3" s="30" t="s">
        <v>80</v>
      </c>
      <c r="E3" s="31" t="s">
        <v>81</v>
      </c>
      <c r="F3" s="31" t="s">
        <v>82</v>
      </c>
      <c r="G3" s="28"/>
      <c r="H3" s="29" t="s">
        <v>78</v>
      </c>
      <c r="I3" s="30" t="s">
        <v>83</v>
      </c>
      <c r="J3" s="30" t="s">
        <v>84</v>
      </c>
      <c r="K3" s="30" t="s">
        <v>85</v>
      </c>
      <c r="L3" s="30" t="s">
        <v>86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.4">
      <c r="A4" s="28"/>
      <c r="B4" s="32">
        <v>43842</v>
      </c>
      <c r="C4" s="33">
        <f>DAY(B4)</f>
        <v>12</v>
      </c>
      <c r="D4" s="33">
        <f>MONTH(B4)</f>
        <v>1</v>
      </c>
      <c r="E4" s="33">
        <f>YEAR(B4)</f>
        <v>2020</v>
      </c>
      <c r="F4" s="32">
        <f>DATE(E4,D4,C4)</f>
        <v>43842</v>
      </c>
      <c r="G4" s="28"/>
      <c r="H4" s="34">
        <v>0.20025462962963</v>
      </c>
      <c r="I4" s="33">
        <f>HOUR(H4)</f>
        <v>4</v>
      </c>
      <c r="J4" s="33">
        <f>MINUTE(H4)</f>
        <v>48</v>
      </c>
      <c r="K4" s="33">
        <f>SECOND(H4)</f>
        <v>22</v>
      </c>
      <c r="L4" s="35">
        <f>TIME(I4,J4,K4)</f>
        <v>0.20025462962962962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.4">
      <c r="A5" s="28"/>
      <c r="B5" s="36">
        <v>43953</v>
      </c>
      <c r="C5" s="33">
        <f>DAY(B5)</f>
        <v>2</v>
      </c>
      <c r="D5" s="33">
        <f t="shared" ref="D5:D7" si="0">MONTH(B5)</f>
        <v>5</v>
      </c>
      <c r="E5" s="33">
        <f t="shared" ref="E5:E7" si="1">YEAR(B5)</f>
        <v>2020</v>
      </c>
      <c r="F5" s="32">
        <f t="shared" ref="F5:F7" si="2">DATE(E5,D5,C5)</f>
        <v>43953</v>
      </c>
      <c r="G5" s="28"/>
      <c r="H5" s="34">
        <v>0.241921296296296</v>
      </c>
      <c r="I5" s="33">
        <f t="shared" ref="I5:I8" si="3">HOUR(H5)</f>
        <v>5</v>
      </c>
      <c r="J5" s="33">
        <f t="shared" ref="J5:J8" si="4">MINUTE(H5)</f>
        <v>48</v>
      </c>
      <c r="K5" s="33">
        <f t="shared" ref="K5:K8" si="5">SECOND(H5)</f>
        <v>22</v>
      </c>
      <c r="L5" s="35">
        <f t="shared" ref="L5:L8" si="6">TIME(I5,J5,K5)</f>
        <v>0.2419212962962963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.4">
      <c r="A6" s="28"/>
      <c r="B6" s="37">
        <v>43831</v>
      </c>
      <c r="C6" s="33">
        <f>DAY(B6)</f>
        <v>1</v>
      </c>
      <c r="D6" s="33">
        <f t="shared" si="0"/>
        <v>1</v>
      </c>
      <c r="E6" s="33">
        <f t="shared" si="1"/>
        <v>2020</v>
      </c>
      <c r="F6" s="32">
        <f t="shared" si="2"/>
        <v>43831</v>
      </c>
      <c r="G6" s="28"/>
      <c r="H6" s="34">
        <v>0.28358796296296301</v>
      </c>
      <c r="I6" s="33">
        <f t="shared" si="3"/>
        <v>6</v>
      </c>
      <c r="J6" s="33">
        <f t="shared" si="4"/>
        <v>48</v>
      </c>
      <c r="K6" s="33">
        <f t="shared" si="5"/>
        <v>22</v>
      </c>
      <c r="L6" s="35">
        <f t="shared" si="6"/>
        <v>0.28358796296296296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.4">
      <c r="A7" s="28"/>
      <c r="B7" s="38">
        <v>43863</v>
      </c>
      <c r="C7" s="33">
        <f>DAY(B7)</f>
        <v>2</v>
      </c>
      <c r="D7" s="33">
        <f t="shared" si="0"/>
        <v>2</v>
      </c>
      <c r="E7" s="33">
        <f t="shared" si="1"/>
        <v>2020</v>
      </c>
      <c r="F7" s="32">
        <f t="shared" si="2"/>
        <v>43863</v>
      </c>
      <c r="G7" s="28"/>
      <c r="H7" s="34">
        <v>0.32525462962962998</v>
      </c>
      <c r="I7" s="33">
        <f t="shared" si="3"/>
        <v>7</v>
      </c>
      <c r="J7" s="33">
        <f t="shared" si="4"/>
        <v>48</v>
      </c>
      <c r="K7" s="33">
        <f t="shared" si="5"/>
        <v>22</v>
      </c>
      <c r="L7" s="35">
        <f t="shared" si="6"/>
        <v>0.32525462962962964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.4">
      <c r="A8" s="28"/>
      <c r="B8" s="39"/>
      <c r="C8" s="39"/>
      <c r="D8" s="39"/>
      <c r="E8" s="39"/>
      <c r="F8" s="40"/>
      <c r="G8" s="28"/>
      <c r="H8" s="34">
        <v>0.366921296296296</v>
      </c>
      <c r="I8" s="33">
        <f t="shared" si="3"/>
        <v>8</v>
      </c>
      <c r="J8" s="33">
        <f t="shared" si="4"/>
        <v>48</v>
      </c>
      <c r="K8" s="33">
        <f t="shared" si="5"/>
        <v>22</v>
      </c>
      <c r="L8" s="35">
        <f t="shared" si="6"/>
        <v>0.36692129629629627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4">
      <c r="A9" s="28"/>
      <c r="B9" s="28"/>
      <c r="C9" s="28"/>
      <c r="D9" s="28"/>
      <c r="E9" s="28"/>
      <c r="F9" s="28"/>
      <c r="G9" s="28"/>
      <c r="H9" s="41"/>
      <c r="I9" s="41"/>
      <c r="J9" s="41"/>
      <c r="K9" s="41"/>
      <c r="L9" s="41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4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4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46.8">
      <c r="A13" s="28"/>
      <c r="B13" s="28"/>
      <c r="C13" s="29" t="s">
        <v>87</v>
      </c>
      <c r="D13" s="64" t="s">
        <v>88</v>
      </c>
      <c r="E13" s="60"/>
      <c r="F13" s="42" t="s">
        <v>72</v>
      </c>
      <c r="G13" s="65" t="s">
        <v>89</v>
      </c>
      <c r="H13" s="60"/>
      <c r="I13" s="43" t="s">
        <v>90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4">
      <c r="A14" s="28"/>
      <c r="B14" s="28"/>
      <c r="C14" s="32">
        <v>43842</v>
      </c>
      <c r="D14" s="59">
        <v>4</v>
      </c>
      <c r="E14" s="60"/>
      <c r="F14" s="44">
        <v>45818</v>
      </c>
      <c r="G14" s="62">
        <f>EDATE(C14,D14)</f>
        <v>43963</v>
      </c>
      <c r="H14" s="60"/>
      <c r="I14" s="45">
        <f>NETWORKDAYS(C14,F14)</f>
        <v>1412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4">
      <c r="A15" s="28"/>
      <c r="B15" s="28"/>
      <c r="C15" s="32">
        <v>43843</v>
      </c>
      <c r="D15" s="59">
        <v>-3</v>
      </c>
      <c r="E15" s="60"/>
      <c r="F15" s="44">
        <v>45822</v>
      </c>
      <c r="G15" s="62">
        <f t="shared" ref="G15:G17" si="7">EDATE(C15,D15)</f>
        <v>43751</v>
      </c>
      <c r="H15" s="60"/>
      <c r="I15" s="45">
        <f t="shared" ref="I15:I17" si="8">NETWORKDAYS(C15,F15)</f>
        <v>1415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4">
      <c r="A16" s="28"/>
      <c r="B16" s="28"/>
      <c r="C16" s="32">
        <v>43844</v>
      </c>
      <c r="D16" s="59">
        <v>4</v>
      </c>
      <c r="E16" s="60"/>
      <c r="F16" s="44">
        <v>45828</v>
      </c>
      <c r="G16" s="62">
        <f t="shared" si="7"/>
        <v>43965</v>
      </c>
      <c r="H16" s="60"/>
      <c r="I16" s="45">
        <f t="shared" si="8"/>
        <v>1419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4">
      <c r="A17" s="28"/>
      <c r="B17" s="28"/>
      <c r="C17" s="32">
        <v>43845</v>
      </c>
      <c r="D17" s="59">
        <v>2</v>
      </c>
      <c r="E17" s="60"/>
      <c r="F17" s="44">
        <v>45830</v>
      </c>
      <c r="G17" s="62">
        <f t="shared" si="7"/>
        <v>43905</v>
      </c>
      <c r="H17" s="60"/>
      <c r="I17" s="45">
        <f t="shared" si="8"/>
        <v>1418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4">
      <c r="A18" s="28"/>
      <c r="B18" s="28"/>
      <c r="C18" s="39"/>
      <c r="D18" s="61"/>
      <c r="E18" s="60"/>
      <c r="F18" s="20"/>
      <c r="G18" s="63"/>
      <c r="H18" s="60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4">
      <c r="A19" s="28"/>
      <c r="B19" s="28"/>
      <c r="C19" s="28"/>
      <c r="D19" s="28"/>
      <c r="E19" s="28"/>
      <c r="F19" s="20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4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2">
    <mergeCell ref="D13:E13"/>
    <mergeCell ref="G13:H13"/>
    <mergeCell ref="D14:E14"/>
    <mergeCell ref="G14:H14"/>
    <mergeCell ref="D15:E15"/>
    <mergeCell ref="G15:H15"/>
    <mergeCell ref="D16:E16"/>
    <mergeCell ref="D17:E17"/>
    <mergeCell ref="D18:E18"/>
    <mergeCell ref="G17:H17"/>
    <mergeCell ref="G18:H18"/>
    <mergeCell ref="G16:H1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0"/>
  <sheetViews>
    <sheetView tabSelected="1" topLeftCell="B1" workbookViewId="0">
      <selection activeCell="L25" sqref="L25"/>
    </sheetView>
  </sheetViews>
  <sheetFormatPr defaultColWidth="14.44140625" defaultRowHeight="15" customHeight="1"/>
  <cols>
    <col min="1" max="1" width="12.33203125" customWidth="1"/>
    <col min="2" max="2" width="13" customWidth="1"/>
    <col min="3" max="3" width="14.109375" customWidth="1"/>
    <col min="4" max="4" width="14" customWidth="1"/>
    <col min="5" max="5" width="8.6640625" customWidth="1"/>
    <col min="6" max="6" width="11.109375" customWidth="1"/>
    <col min="7" max="7" width="10.44140625" customWidth="1"/>
    <col min="8" max="8" width="8.6640625" customWidth="1"/>
    <col min="9" max="9" width="11.88671875" customWidth="1"/>
    <col min="10" max="11" width="8.6640625" customWidth="1"/>
    <col min="12" max="12" width="11.44140625" customWidth="1"/>
    <col min="13" max="13" width="15.44140625" bestFit="1" customWidth="1"/>
    <col min="14" max="14" width="8.6640625" customWidth="1"/>
    <col min="15" max="15" width="10.5546875" customWidth="1"/>
    <col min="16" max="16" width="15.88671875" customWidth="1"/>
    <col min="17" max="26" width="8.6640625" customWidth="1"/>
  </cols>
  <sheetData>
    <row r="1" spans="1:19" ht="25.8">
      <c r="A1" s="46" t="s">
        <v>91</v>
      </c>
    </row>
    <row r="3" spans="1:19" ht="28.8">
      <c r="A3" s="47"/>
      <c r="B3" s="16" t="s">
        <v>14</v>
      </c>
      <c r="C3" s="16" t="s">
        <v>92</v>
      </c>
      <c r="D3" s="16" t="s">
        <v>93</v>
      </c>
      <c r="E3" s="16" t="s">
        <v>94</v>
      </c>
      <c r="F3" s="16" t="s">
        <v>46</v>
      </c>
      <c r="G3" s="16" t="s">
        <v>95</v>
      </c>
      <c r="H3" s="16" t="s">
        <v>96</v>
      </c>
      <c r="J3" s="1" t="s">
        <v>97</v>
      </c>
      <c r="S3" s="1" t="s">
        <v>98</v>
      </c>
    </row>
    <row r="4" spans="1:19" ht="14.4">
      <c r="A4" s="23"/>
      <c r="B4" s="19" t="s">
        <v>25</v>
      </c>
      <c r="C4" s="19">
        <v>2024</v>
      </c>
      <c r="D4" s="19">
        <v>6</v>
      </c>
      <c r="E4" s="19">
        <v>12</v>
      </c>
      <c r="F4" s="48">
        <v>0.34409722222222222</v>
      </c>
      <c r="G4" s="20">
        <v>45491</v>
      </c>
      <c r="H4" s="19">
        <v>1</v>
      </c>
      <c r="J4" s="49"/>
      <c r="S4" s="49"/>
    </row>
    <row r="5" spans="1:19" ht="14.4">
      <c r="A5" s="23"/>
      <c r="B5" s="19" t="s">
        <v>27</v>
      </c>
      <c r="C5" s="19">
        <v>2024</v>
      </c>
      <c r="D5" s="19">
        <v>5</v>
      </c>
      <c r="E5" s="19">
        <v>28</v>
      </c>
      <c r="F5" s="48">
        <v>0.40625</v>
      </c>
      <c r="G5" s="20">
        <v>45478</v>
      </c>
      <c r="H5" s="19">
        <v>2</v>
      </c>
      <c r="J5" s="49" t="s">
        <v>99</v>
      </c>
      <c r="P5" s="50">
        <f ca="1">TODAY()</f>
        <v>46209</v>
      </c>
      <c r="S5" s="51" t="s">
        <v>100</v>
      </c>
    </row>
    <row r="6" spans="1:19" ht="14.4">
      <c r="A6" s="23"/>
      <c r="B6" s="19" t="s">
        <v>29</v>
      </c>
      <c r="C6" s="19">
        <v>2024</v>
      </c>
      <c r="D6" s="19">
        <v>4</v>
      </c>
      <c r="E6" s="19">
        <v>15</v>
      </c>
      <c r="F6" s="48">
        <v>0.3127314814814815</v>
      </c>
      <c r="G6" s="20">
        <v>45463</v>
      </c>
      <c r="H6" s="19">
        <v>3</v>
      </c>
      <c r="J6" s="49"/>
      <c r="M6" s="67">
        <f ca="1">TODAY()</f>
        <v>46209</v>
      </c>
      <c r="S6" s="49"/>
    </row>
    <row r="7" spans="1:19" ht="14.4">
      <c r="A7" s="23"/>
      <c r="B7" s="19" t="s">
        <v>31</v>
      </c>
      <c r="C7" s="19">
        <v>2024</v>
      </c>
      <c r="D7" s="19">
        <v>3</v>
      </c>
      <c r="E7" s="19">
        <v>10</v>
      </c>
      <c r="F7" s="48">
        <v>0.41666666666666669</v>
      </c>
      <c r="G7" s="20">
        <v>45430</v>
      </c>
      <c r="H7" s="19">
        <v>4</v>
      </c>
      <c r="J7" s="49" t="s">
        <v>101</v>
      </c>
      <c r="M7" s="68"/>
      <c r="P7" s="52">
        <f ca="1">NOW()</f>
        <v>46209.490024074075</v>
      </c>
      <c r="S7" s="51" t="s">
        <v>102</v>
      </c>
    </row>
    <row r="8" spans="1:19" ht="14.4">
      <c r="B8" s="19" t="s">
        <v>33</v>
      </c>
      <c r="C8" s="19">
        <v>2024</v>
      </c>
      <c r="D8" s="19">
        <v>2</v>
      </c>
      <c r="E8" s="19">
        <v>25</v>
      </c>
      <c r="F8" s="48">
        <v>0.2644097222222222</v>
      </c>
      <c r="G8" s="20">
        <v>45414</v>
      </c>
      <c r="H8" s="19">
        <v>2</v>
      </c>
      <c r="J8" s="49"/>
      <c r="M8" s="69">
        <f ca="1">NOW()</f>
        <v>46209.490024074075</v>
      </c>
      <c r="S8" s="49"/>
    </row>
    <row r="9" spans="1:19" ht="14.4">
      <c r="B9" s="19" t="s">
        <v>34</v>
      </c>
      <c r="C9" s="19">
        <v>2024</v>
      </c>
      <c r="D9" s="19">
        <v>1</v>
      </c>
      <c r="E9" s="19">
        <v>5</v>
      </c>
      <c r="F9" s="48">
        <v>0.46527777777777773</v>
      </c>
      <c r="G9" s="20">
        <v>45361</v>
      </c>
      <c r="H9" s="19">
        <v>1</v>
      </c>
      <c r="I9" s="14"/>
      <c r="J9" s="49" t="s">
        <v>103</v>
      </c>
      <c r="P9" s="53">
        <f>YEAR(G4)</f>
        <v>2024</v>
      </c>
      <c r="S9" s="51" t="s">
        <v>104</v>
      </c>
    </row>
    <row r="10" spans="1:19" ht="14.4">
      <c r="B10" s="19" t="s">
        <v>35</v>
      </c>
      <c r="C10" s="19">
        <v>2023</v>
      </c>
      <c r="D10" s="19">
        <v>12</v>
      </c>
      <c r="E10" s="19">
        <v>15</v>
      </c>
      <c r="F10" s="48">
        <v>0.50017361111111114</v>
      </c>
      <c r="G10" s="20">
        <v>45344</v>
      </c>
      <c r="H10" s="19">
        <v>3</v>
      </c>
      <c r="I10" s="14"/>
      <c r="J10" s="49"/>
      <c r="M10">
        <f>YEAR(G4)</f>
        <v>2024</v>
      </c>
      <c r="S10" s="49" t="s">
        <v>105</v>
      </c>
    </row>
    <row r="11" spans="1:19" ht="14.4">
      <c r="B11" s="19" t="s">
        <v>36</v>
      </c>
      <c r="C11" s="19">
        <v>2023</v>
      </c>
      <c r="D11" s="19">
        <v>11</v>
      </c>
      <c r="E11" s="19">
        <v>1</v>
      </c>
      <c r="F11" s="48">
        <v>0.37893518518518521</v>
      </c>
      <c r="G11" s="20">
        <v>45301</v>
      </c>
      <c r="H11" s="19">
        <v>2</v>
      </c>
      <c r="I11" s="54">
        <f>DATE(C4,D4,E4)</f>
        <v>45455</v>
      </c>
      <c r="J11" s="49" t="s">
        <v>106</v>
      </c>
      <c r="S11" s="49"/>
    </row>
    <row r="12" spans="1:19" ht="14.4">
      <c r="B12" s="19" t="s">
        <v>37</v>
      </c>
      <c r="C12" s="19">
        <v>2023</v>
      </c>
      <c r="D12" s="19">
        <v>10</v>
      </c>
      <c r="E12" s="19">
        <v>20</v>
      </c>
      <c r="F12" s="48">
        <v>0.3263888888888889</v>
      </c>
      <c r="G12" s="20">
        <v>45290</v>
      </c>
      <c r="H12" s="19">
        <v>2</v>
      </c>
      <c r="I12" s="14"/>
      <c r="J12" s="49"/>
      <c r="M12" s="67">
        <f>DATE(C4,D4,E4)</f>
        <v>45455</v>
      </c>
      <c r="S12" s="51" t="s">
        <v>107</v>
      </c>
    </row>
    <row r="13" spans="1:19" ht="14.4">
      <c r="B13" s="19" t="s">
        <v>38</v>
      </c>
      <c r="C13" s="19">
        <v>2023</v>
      </c>
      <c r="D13" s="19">
        <v>9</v>
      </c>
      <c r="E13" s="19">
        <v>30</v>
      </c>
      <c r="F13" s="48">
        <v>0.35792824074074076</v>
      </c>
      <c r="G13" s="20">
        <v>45270</v>
      </c>
      <c r="H13" s="19">
        <v>1</v>
      </c>
      <c r="I13" s="53" t="str">
        <f>TEXT(I11,"mmmm")</f>
        <v>June</v>
      </c>
      <c r="J13" s="49" t="s">
        <v>108</v>
      </c>
      <c r="S13" s="49" t="s">
        <v>109</v>
      </c>
    </row>
    <row r="14" spans="1:19" ht="14.4">
      <c r="J14" s="49"/>
      <c r="M14" t="str">
        <f>TEXT(D15,"MMMM")</f>
        <v>June</v>
      </c>
      <c r="S14" s="49"/>
    </row>
    <row r="15" spans="1:19" ht="14.4">
      <c r="D15" s="67">
        <f>DATE(C4,D4,E4)</f>
        <v>45455</v>
      </c>
      <c r="I15" s="50">
        <f>EDATE(I11,H4)</f>
        <v>45485</v>
      </c>
      <c r="J15" s="49" t="s">
        <v>110</v>
      </c>
      <c r="S15" s="51" t="s">
        <v>111</v>
      </c>
    </row>
    <row r="16" spans="1:19" ht="14.4">
      <c r="J16" s="49"/>
      <c r="L16" s="67">
        <f>EDATE(D15,H4)</f>
        <v>45485</v>
      </c>
      <c r="M16" s="67"/>
      <c r="S16" s="49"/>
    </row>
    <row r="17" spans="4:19" ht="14.4">
      <c r="D17" s="67"/>
      <c r="I17" s="53">
        <f>NETWORKDAYS(I11,G4)</f>
        <v>27</v>
      </c>
      <c r="J17" s="49" t="s">
        <v>112</v>
      </c>
      <c r="S17" s="51" t="s">
        <v>113</v>
      </c>
    </row>
    <row r="18" spans="4:19" ht="14.4">
      <c r="J18" s="49"/>
      <c r="L18">
        <f>NETWORKDAYS(D15,G4)</f>
        <v>27</v>
      </c>
      <c r="S18" s="49" t="s">
        <v>114</v>
      </c>
    </row>
    <row r="19" spans="4:19" ht="14.4">
      <c r="J19" s="49" t="s">
        <v>115</v>
      </c>
      <c r="S19" s="49"/>
    </row>
    <row r="20" spans="4:19" ht="14.4">
      <c r="J20" s="49"/>
      <c r="L20">
        <f>HOUR(F4)</f>
        <v>8</v>
      </c>
      <c r="S20" s="51" t="s">
        <v>116</v>
      </c>
    </row>
    <row r="21" spans="4:19" ht="15.75" customHeight="1">
      <c r="J21" s="49" t="s">
        <v>117</v>
      </c>
      <c r="S21" s="49"/>
    </row>
    <row r="22" spans="4:19" ht="15.75" customHeight="1">
      <c r="J22" s="49"/>
      <c r="L22">
        <f>MINUTE(F5)</f>
        <v>45</v>
      </c>
      <c r="S22" s="51" t="s">
        <v>118</v>
      </c>
    </row>
    <row r="23" spans="4:19" ht="15.75" customHeight="1">
      <c r="J23" s="49" t="s">
        <v>119</v>
      </c>
      <c r="S23" s="49" t="s">
        <v>120</v>
      </c>
    </row>
    <row r="24" spans="4:19" ht="15.75" customHeight="1">
      <c r="L24">
        <f>SECOND(F6)</f>
        <v>20</v>
      </c>
      <c r="S24" s="49"/>
    </row>
    <row r="25" spans="4:19" ht="15.75" customHeight="1">
      <c r="S25" s="51" t="s">
        <v>121</v>
      </c>
    </row>
    <row r="26" spans="4:19" ht="15.75" customHeight="1">
      <c r="S26" s="49" t="s">
        <v>122</v>
      </c>
    </row>
    <row r="27" spans="4:19" ht="15.75" customHeight="1">
      <c r="S27" s="49"/>
    </row>
    <row r="28" spans="4:19" ht="15.75" customHeight="1">
      <c r="S28" s="51" t="s">
        <v>123</v>
      </c>
    </row>
    <row r="29" spans="4:19" ht="15.75" customHeight="1">
      <c r="S29" s="49" t="s">
        <v>124</v>
      </c>
    </row>
    <row r="30" spans="4:19" ht="15.75" customHeight="1"/>
    <row r="31" spans="4:19" ht="15.75" customHeight="1"/>
    <row r="32" spans="4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DESCRIPTION</vt:lpstr>
      <vt:lpstr>DATE,DAY,TODAY,NOW</vt:lpstr>
      <vt:lpstr>DESCRIPTION2</vt:lpstr>
      <vt:lpstr>DAY,YEAR,HOUR,MINUTE,..</vt:lpstr>
      <vt:lpstr>DESCRIPTION3 </vt:lpstr>
      <vt:lpstr>NETWORKDAY,EDATE</vt:lpstr>
      <vt:lpstr>OVERALL</vt:lpstr>
      <vt:lpstr>EXCERCISE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Shimiriya P</cp:lastModifiedBy>
  <dcterms:created xsi:type="dcterms:W3CDTF">2025-01-02T05:42:00Z</dcterms:created>
  <dcterms:modified xsi:type="dcterms:W3CDTF">2026-07-06T06:15:51Z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2B390C83EF4D4E3C89DC1F0AC00A5F8D_11</vt:lpwstr>
  </property>
  <property fmtid="{D5CDD505-2E9C-101B-9397-08002B2CF9AE}" pid="3" name="KSOProductBuildVer">
    <vt:lpwstr>1033-12.2.0.18639</vt:lpwstr>
  </property>
</Properties>
</file>