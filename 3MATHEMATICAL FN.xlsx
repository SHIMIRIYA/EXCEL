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346BFF-FDDB-4BD6-8ACB-178BCD97D0BB}" xr6:coauthVersionLast="47" xr6:coauthVersionMax="47" xr10:uidLastSave="{00000000-0000-0000-0000-000000000000}"/>
  <bookViews>
    <workbookView xWindow="-108" yWindow="-108" windowWidth="23256" windowHeight="12456" tabRatio="811" firstSheet="12" activeTab="19" xr2:uid="{00000000-000D-0000-FFFF-FFFF00000000}"/>
  </bookViews>
  <sheets>
    <sheet name="Chapter3" sheetId="31" r:id="rId1"/>
    <sheet name="FUNCTIONS" sheetId="2" r:id="rId2"/>
    <sheet name="MATHEMATICAL FUNCTION" sheetId="1" r:id="rId3"/>
    <sheet name="DESCRIPTION" sheetId="4" r:id="rId4"/>
    <sheet name="SUM,AVERAGE,ROUND,MAX,MIN" sheetId="3" r:id="rId5"/>
    <sheet name="Transportation_Cost_Analysis" sheetId="22" r:id="rId6"/>
    <sheet name="DESCRIPTIONS" sheetId="6" r:id="rId7"/>
    <sheet name="COUNT,COUNTA" sheetId="5" r:id="rId8"/>
    <sheet name="Product_Pricing&amp;Discount_Regist" sheetId="23" r:id="rId9"/>
    <sheet name="EXCERCISE-1 " sheetId="24" r:id="rId10"/>
    <sheet name="Description_Sumif" sheetId="17" r:id="rId11"/>
    <sheet name="SUMIF" sheetId="26" r:id="rId12"/>
    <sheet name="EXCERCISE-2" sheetId="25" r:id="rId13"/>
    <sheet name="Description_Sumifs" sheetId="18" r:id="rId14"/>
    <sheet name="SUMIFS" sheetId="27" r:id="rId15"/>
    <sheet name="EXCERCISE-3" sheetId="28" r:id="rId16"/>
    <sheet name="Description_Countif" sheetId="19" r:id="rId17"/>
    <sheet name="Description_Countifs" sheetId="20" r:id="rId18"/>
    <sheet name="COUNTIF&amp;COUNTIFS" sheetId="29" r:id="rId19"/>
    <sheet name="EXCERCISE-4" sheetId="30" r:id="rId20"/>
  </sheets>
  <definedNames>
    <definedName name="_xlnm._FilterDatabase" localSheetId="4" hidden="1">'SUM,AVERAGE,ROUND,MAX,MIN'!$B$3:$H$17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30" l="1"/>
  <c r="W15" i="30"/>
  <c r="W13" i="30"/>
  <c r="W11" i="30"/>
  <c r="V10" i="30"/>
  <c r="V8" i="30"/>
  <c r="V6" i="30"/>
  <c r="P19" i="30"/>
  <c r="P17" i="30"/>
  <c r="P15" i="30"/>
  <c r="P13" i="30"/>
  <c r="P11" i="30"/>
  <c r="P9" i="30"/>
  <c r="P7" i="30"/>
  <c r="P5" i="30"/>
  <c r="P12" i="29"/>
  <c r="P10" i="29"/>
  <c r="P7" i="29"/>
  <c r="P6" i="29"/>
  <c r="E14" i="29"/>
  <c r="P4" i="29"/>
  <c r="U21" i="28"/>
  <c r="S19" i="28"/>
  <c r="S17" i="28"/>
  <c r="U15" i="28"/>
  <c r="U13" i="28"/>
  <c r="U11" i="28"/>
  <c r="U9" i="28"/>
  <c r="R7" i="28"/>
  <c r="Q5" i="28"/>
  <c r="Q4" i="28"/>
  <c r="T11" i="27"/>
  <c r="T9" i="27"/>
  <c r="T7" i="27"/>
  <c r="S5" i="27"/>
  <c r="S3" i="27"/>
  <c r="U31" i="25"/>
  <c r="U27" i="25"/>
  <c r="U25" i="25"/>
  <c r="U21" i="25"/>
  <c r="U19" i="25"/>
  <c r="U11" i="25"/>
  <c r="U9" i="25"/>
  <c r="U7" i="25"/>
  <c r="U5" i="25"/>
  <c r="U3" i="25"/>
  <c r="O9" i="26"/>
  <c r="O7" i="26"/>
  <c r="O5" i="26"/>
  <c r="O3" i="26"/>
  <c r="S32" i="24"/>
  <c r="S30" i="24"/>
  <c r="S28" i="24"/>
  <c r="S24" i="24"/>
  <c r="S22" i="24"/>
  <c r="S18" i="24"/>
  <c r="S20" i="24"/>
  <c r="S16" i="24"/>
  <c r="S14" i="24"/>
  <c r="S12" i="24"/>
  <c r="S10" i="24"/>
  <c r="S8" i="24"/>
  <c r="S6" i="24"/>
  <c r="S4" i="24"/>
  <c r="M9" i="23"/>
  <c r="M7" i="23"/>
  <c r="M5" i="23"/>
  <c r="O11" i="5"/>
  <c r="O8" i="5"/>
  <c r="O5" i="5"/>
  <c r="L10" i="5"/>
  <c r="L7" i="5"/>
  <c r="L4" i="5"/>
  <c r="I5" i="5"/>
  <c r="I6" i="5"/>
  <c r="I7" i="5"/>
  <c r="I8" i="5"/>
  <c r="I9" i="5"/>
  <c r="I10" i="5"/>
  <c r="I11" i="5"/>
  <c r="I12" i="5"/>
  <c r="I13" i="5"/>
  <c r="I4" i="5"/>
  <c r="H5" i="5"/>
  <c r="H6" i="5"/>
  <c r="H7" i="5"/>
  <c r="H8" i="5"/>
  <c r="H9" i="5"/>
  <c r="H10" i="5"/>
  <c r="H11" i="5"/>
  <c r="H12" i="5"/>
  <c r="H13" i="5"/>
  <c r="H4" i="5"/>
  <c r="K20" i="22"/>
  <c r="K19" i="22"/>
  <c r="K18" i="22"/>
  <c r="N18" i="22"/>
  <c r="K17" i="22"/>
  <c r="P15" i="22"/>
  <c r="K16" i="22"/>
  <c r="K15" i="22"/>
  <c r="F19" i="3"/>
  <c r="G19" i="3"/>
  <c r="E19" i="3"/>
  <c r="F18" i="3"/>
  <c r="G18" i="3"/>
  <c r="E18" i="3"/>
  <c r="G17" i="3"/>
  <c r="F17" i="3"/>
  <c r="E17" i="3"/>
  <c r="G16" i="3"/>
  <c r="F16" i="3"/>
  <c r="E16" i="3"/>
  <c r="L4" i="3"/>
  <c r="K10" i="3"/>
  <c r="K11" i="3"/>
  <c r="K12" i="3"/>
  <c r="K13" i="3"/>
  <c r="K4" i="3"/>
  <c r="J10" i="3"/>
  <c r="J11" i="3"/>
  <c r="J12" i="3"/>
  <c r="J13" i="3"/>
  <c r="J4" i="3"/>
  <c r="I5" i="3"/>
  <c r="L5" i="3" s="1"/>
  <c r="I6" i="3"/>
  <c r="K6" i="3" s="1"/>
  <c r="I7" i="3"/>
  <c r="L7" i="3" s="1"/>
  <c r="I8" i="3"/>
  <c r="J8" i="3" s="1"/>
  <c r="I9" i="3"/>
  <c r="K9" i="3" s="1"/>
  <c r="I10" i="3"/>
  <c r="L10" i="3" s="1"/>
  <c r="I11" i="3"/>
  <c r="L11" i="3" s="1"/>
  <c r="I12" i="3"/>
  <c r="L12" i="3" s="1"/>
  <c r="I13" i="3"/>
  <c r="L13" i="3" s="1"/>
  <c r="I4" i="3"/>
  <c r="H5" i="3"/>
  <c r="H6" i="3"/>
  <c r="H7" i="3"/>
  <c r="H8" i="3"/>
  <c r="H9" i="3"/>
  <c r="H10" i="3"/>
  <c r="H11" i="3"/>
  <c r="H12" i="3"/>
  <c r="H13" i="3"/>
  <c r="H4" i="3"/>
  <c r="L17" i="22"/>
  <c r="N14" i="22"/>
  <c r="S27" i="25"/>
  <c r="R25" i="25"/>
  <c r="R21" i="25"/>
  <c r="R19" i="25"/>
  <c r="R11" i="25"/>
  <c r="R9" i="25"/>
  <c r="R7" i="25"/>
  <c r="R5" i="25"/>
  <c r="R3" i="25"/>
  <c r="R26" i="24"/>
  <c r="K5" i="3" l="1"/>
  <c r="J7" i="3"/>
  <c r="J6" i="3"/>
  <c r="J5" i="3"/>
  <c r="L9" i="3"/>
  <c r="K8" i="3"/>
  <c r="L6" i="3"/>
  <c r="J9" i="3"/>
  <c r="K7" i="3"/>
  <c r="L8" i="3"/>
</calcChain>
</file>

<file path=xl/sharedStrings.xml><?xml version="1.0" encoding="utf-8"?>
<sst xmlns="http://schemas.openxmlformats.org/spreadsheetml/2006/main" count="584" uniqueCount="342">
  <si>
    <r>
      <t xml:space="preserve">                                                                                                                                   </t>
    </r>
    <r>
      <rPr>
        <b/>
        <u/>
        <sz val="20"/>
        <color theme="1"/>
        <rFont val="Calibri"/>
        <family val="2"/>
        <scheme val="minor"/>
      </rPr>
      <t>FUNCTIONS</t>
    </r>
  </si>
  <si>
    <r>
      <t>•</t>
    </r>
    <r>
      <rPr>
        <sz val="14"/>
        <color rgb="FF000000"/>
        <rFont val="Arial"/>
        <family val="2"/>
      </rPr>
      <t>MATHEMATICAL FUNCTIONS</t>
    </r>
  </si>
  <si>
    <r>
      <t>•</t>
    </r>
    <r>
      <rPr>
        <sz val="14"/>
        <color rgb="FF000000"/>
        <rFont val="Arial"/>
        <family val="2"/>
      </rPr>
      <t>TEXT FUNCTIONS</t>
    </r>
  </si>
  <si>
    <r>
      <t>•</t>
    </r>
    <r>
      <rPr>
        <sz val="14"/>
        <color rgb="FF000000"/>
        <rFont val="Arial"/>
        <family val="2"/>
      </rPr>
      <t>DATE AND TIME FUNCTION</t>
    </r>
  </si>
  <si>
    <r>
      <t>•</t>
    </r>
    <r>
      <rPr>
        <sz val="14"/>
        <color rgb="FF000000"/>
        <rFont val="Arial"/>
        <family val="2"/>
      </rPr>
      <t>LOGICAL FUNCTION</t>
    </r>
  </si>
  <si>
    <r>
      <t>•</t>
    </r>
    <r>
      <rPr>
        <sz val="14"/>
        <color rgb="FF000000"/>
        <rFont val="Arial"/>
        <family val="2"/>
      </rPr>
      <t>DATA VALIDATION AND FILTER</t>
    </r>
  </si>
  <si>
    <t>1. SUM()</t>
  </si>
  <si>
    <t>2.AVERAGE()</t>
  </si>
  <si>
    <t>3.ROUND()</t>
  </si>
  <si>
    <t xml:space="preserve">                                                               MATHEMATICAL FUNCTIONS</t>
  </si>
  <si>
    <t>NO</t>
  </si>
  <si>
    <t>NAME</t>
  </si>
  <si>
    <t>ROLL NO</t>
  </si>
  <si>
    <t>MARK-1</t>
  </si>
  <si>
    <t>MARK-2</t>
  </si>
  <si>
    <t>MARK-3</t>
  </si>
  <si>
    <t>TOTAL</t>
  </si>
  <si>
    <t>AVERAGE</t>
  </si>
  <si>
    <t>ROUND</t>
  </si>
  <si>
    <t>ASKER</t>
  </si>
  <si>
    <t>0000001</t>
  </si>
  <si>
    <t>AFRATH</t>
  </si>
  <si>
    <t>0000002</t>
  </si>
  <si>
    <t>NISAR</t>
  </si>
  <si>
    <t>0000003</t>
  </si>
  <si>
    <t>AMJATH</t>
  </si>
  <si>
    <t>0000004</t>
  </si>
  <si>
    <t>RAMU</t>
  </si>
  <si>
    <t>0000005</t>
  </si>
  <si>
    <t>AJESH</t>
  </si>
  <si>
    <t>0000006</t>
  </si>
  <si>
    <t>NOUFAL</t>
  </si>
  <si>
    <t>0000007</t>
  </si>
  <si>
    <t>ANVER</t>
  </si>
  <si>
    <t>0000008</t>
  </si>
  <si>
    <t>BALU</t>
  </si>
  <si>
    <t>0000009</t>
  </si>
  <si>
    <t>KARTHIK</t>
  </si>
  <si>
    <t>0000010</t>
  </si>
  <si>
    <t>MAXIMUM</t>
  </si>
  <si>
    <t>MINIMUM</t>
  </si>
  <si>
    <t xml:space="preserve">                                                                      SUM(),  AVERAGE(), ROUND(), MAX(), MIN()</t>
  </si>
  <si>
    <t>5. MIN()</t>
  </si>
  <si>
    <t>6.COUNT()</t>
  </si>
  <si>
    <t>7.COUNTA()</t>
  </si>
  <si>
    <t>13.SUMIF()</t>
  </si>
  <si>
    <t>14.COUNTIF()</t>
  </si>
  <si>
    <t>Count</t>
  </si>
  <si>
    <t>COUNTA</t>
  </si>
  <si>
    <t xml:space="preserve">                                                                      COUNT(),COUNTA(),ABSOLUTE(),SQRT(),PRODUCT(),POWER()</t>
  </si>
  <si>
    <t>Product Name</t>
  </si>
  <si>
    <t>Department</t>
  </si>
  <si>
    <t>HR</t>
  </si>
  <si>
    <t>Finance</t>
  </si>
  <si>
    <t>IT</t>
  </si>
  <si>
    <t>Status</t>
  </si>
  <si>
    <t>Active</t>
  </si>
  <si>
    <t>ABS</t>
  </si>
  <si>
    <t>PRODUCT</t>
  </si>
  <si>
    <t>SQRT</t>
  </si>
  <si>
    <t>POWER</t>
  </si>
  <si>
    <t>Region</t>
  </si>
  <si>
    <t>Product</t>
  </si>
  <si>
    <t>North</t>
  </si>
  <si>
    <t>Laptop</t>
  </si>
  <si>
    <t>South</t>
  </si>
  <si>
    <t>East</t>
  </si>
  <si>
    <t>West</t>
  </si>
  <si>
    <t>Tablet</t>
  </si>
  <si>
    <t>LARGE</t>
  </si>
  <si>
    <t>SMALL</t>
  </si>
  <si>
    <t>COUNTBLANK</t>
  </si>
  <si>
    <t>4.ROUNDUP()</t>
  </si>
  <si>
    <t>8.ROUNDDOWN()</t>
  </si>
  <si>
    <t>9.POWER()</t>
  </si>
  <si>
    <t>10.SQRT()</t>
  </si>
  <si>
    <t>11.MAX()</t>
  </si>
  <si>
    <t>12.PRODUCT()</t>
  </si>
  <si>
    <t>15.SUMIFS()</t>
  </si>
  <si>
    <t>16.COUNTIFS()</t>
  </si>
  <si>
    <t>Trip_ID</t>
  </si>
  <si>
    <t>Distance (km)</t>
  </si>
  <si>
    <t>Fuel ₹/km</t>
  </si>
  <si>
    <t>Toll ₹</t>
  </si>
  <si>
    <t>Wage ₹</t>
  </si>
  <si>
    <t>Goods ₹</t>
  </si>
  <si>
    <t>Insurance %</t>
  </si>
  <si>
    <t>Fuel Cost ₹</t>
  </si>
  <si>
    <t>Insurance ₹</t>
  </si>
  <si>
    <t>Cost/km ₹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</si>
  <si>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</si>
  <si>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</si>
  <si>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</si>
  <si>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</si>
  <si>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</si>
  <si>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</si>
  <si>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</si>
  <si>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</si>
  <si>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</si>
  <si>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</si>
  <si>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ROUNDUP</t>
  </si>
  <si>
    <t>ROUNDDOWN</t>
  </si>
  <si>
    <t>E1</t>
  </si>
  <si>
    <t>E2</t>
  </si>
  <si>
    <t>E3</t>
  </si>
  <si>
    <t>E1-E2</t>
  </si>
  <si>
    <t xml:space="preserve">Q1) Calculate the number of students?
</t>
  </si>
  <si>
    <t>AB</t>
  </si>
  <si>
    <t>Q2) Calculate the number of students who attended the 2nd exam.</t>
  </si>
  <si>
    <r>
      <t xml:space="preserve">What is the total </t>
    </r>
    <r>
      <rPr>
        <b/>
        <sz val="11"/>
        <color theme="1"/>
        <rFont val="Calibri"/>
        <family val="2"/>
        <scheme val="minor"/>
      </rPr>
      <t>Fuel Cost</t>
    </r>
    <r>
      <rPr>
        <sz val="11"/>
        <color theme="1"/>
        <rFont val="Calibri"/>
        <family val="2"/>
        <scheme val="minor"/>
      </rPr>
      <t xml:space="preserve"> for all trips          </t>
    </r>
    <r>
      <rPr>
        <sz val="11"/>
        <color rgb="FFFF0000"/>
        <rFont val="Calibri"/>
        <family val="2"/>
        <scheme val="minor"/>
      </rPr>
      <t xml:space="preserve"> SUM()</t>
    </r>
  </si>
  <si>
    <r>
      <t xml:space="preserve">What is the </t>
    </r>
    <r>
      <rPr>
        <b/>
        <sz val="11"/>
        <color theme="1"/>
        <rFont val="Calibri"/>
        <charset val="134"/>
        <scheme val="minor"/>
      </rPr>
      <t>average cost per km</t>
    </r>
    <r>
      <rPr>
        <sz val="11"/>
        <color theme="1"/>
        <rFont val="Calibri"/>
        <charset val="134"/>
        <scheme val="minor"/>
      </rPr>
      <t xml:space="preserve"> for all trips?   </t>
    </r>
    <r>
      <rPr>
        <sz val="11"/>
        <color rgb="FFFF0000"/>
        <rFont val="Calibri"/>
        <family val="2"/>
        <scheme val="minor"/>
      </rPr>
      <t>AVERAGE()</t>
    </r>
  </si>
  <si>
    <r>
      <t xml:space="preserve">What is the minimum distance (km) covered in a trip?      </t>
    </r>
    <r>
      <rPr>
        <sz val="11"/>
        <color rgb="FFFF0000"/>
        <rFont val="Calibri"/>
        <family val="2"/>
        <scheme val="minor"/>
      </rPr>
      <t>MIN()</t>
    </r>
  </si>
  <si>
    <r>
      <t xml:space="preserve">What is the maximum fuel cost among all trips?  </t>
    </r>
    <r>
      <rPr>
        <sz val="11"/>
        <color rgb="FFFF0000"/>
        <rFont val="Calibri"/>
        <family val="2"/>
        <scheme val="minor"/>
      </rPr>
      <t>MAX()</t>
    </r>
  </si>
  <si>
    <t>Q2) Calculate the number of STUDENTS who didn’t enter the mark in E3(COUNTBLANK)</t>
  </si>
  <si>
    <t>Quantity</t>
  </si>
  <si>
    <t>Rate (₹)</t>
  </si>
  <si>
    <t>Discount %</t>
  </si>
  <si>
    <t>Pen</t>
  </si>
  <si>
    <t>Book</t>
  </si>
  <si>
    <t>Bag</t>
  </si>
  <si>
    <t>Bottle</t>
  </si>
  <si>
    <t>Notebook</t>
  </si>
  <si>
    <t>Pencil</t>
  </si>
  <si>
    <t>File</t>
  </si>
  <si>
    <t>Scale</t>
  </si>
  <si>
    <t>Eraser</t>
  </si>
  <si>
    <t>Marker</t>
  </si>
  <si>
    <t>Stapler</t>
  </si>
  <si>
    <t>Tape</t>
  </si>
  <si>
    <t>Folder</t>
  </si>
  <si>
    <t>Box</t>
  </si>
  <si>
    <t>Sharpener</t>
  </si>
  <si>
    <t>How many products have  discount values?</t>
  </si>
  <si>
    <t>How many products are listed</t>
  </si>
  <si>
    <r>
      <t xml:space="preserve">How many products </t>
    </r>
    <r>
      <rPr>
        <b/>
        <sz val="11"/>
        <color theme="1"/>
        <rFont val="Calibri"/>
        <family val="2"/>
        <scheme val="minor"/>
      </rPr>
      <t>do not have</t>
    </r>
    <r>
      <rPr>
        <sz val="11"/>
        <color theme="1"/>
        <rFont val="Calibri"/>
        <family val="2"/>
        <scheme val="minor"/>
      </rPr>
      <t xml:space="preserve"> a discount applied</t>
    </r>
  </si>
  <si>
    <t>Dispatch ID</t>
  </si>
  <si>
    <t>Qty Dispatched</t>
  </si>
  <si>
    <t>Weight (kg)</t>
  </si>
  <si>
    <t>Dispatch Cost (₹)</t>
  </si>
  <si>
    <t>Packaging Charge (₹)</t>
  </si>
  <si>
    <t>D1</t>
  </si>
  <si>
    <t>D2</t>
  </si>
  <si>
    <t>Monitor</t>
  </si>
  <si>
    <t>D3</t>
  </si>
  <si>
    <t>Keyboard</t>
  </si>
  <si>
    <t>D4</t>
  </si>
  <si>
    <t>Mouse</t>
  </si>
  <si>
    <t>D5</t>
  </si>
  <si>
    <t>Printer</t>
  </si>
  <si>
    <t>D6</t>
  </si>
  <si>
    <t>Scanner</t>
  </si>
  <si>
    <t>D7</t>
  </si>
  <si>
    <t>D8</t>
  </si>
  <si>
    <t>Router</t>
  </si>
  <si>
    <t>D9</t>
  </si>
  <si>
    <t>Speaker</t>
  </si>
  <si>
    <t>D10</t>
  </si>
  <si>
    <t>Hard Drive</t>
  </si>
  <si>
    <t>D11</t>
  </si>
  <si>
    <t>Cable</t>
  </si>
  <si>
    <t>D12</t>
  </si>
  <si>
    <t>Adapter</t>
  </si>
  <si>
    <t>D13</t>
  </si>
  <si>
    <t>Webcam</t>
  </si>
  <si>
    <t>D14</t>
  </si>
  <si>
    <t>Charger</t>
  </si>
  <si>
    <t>D15</t>
  </si>
  <si>
    <t>Smartphone</t>
  </si>
  <si>
    <r>
      <t xml:space="preserve">1. What is the total </t>
    </r>
    <r>
      <rPr>
        <b/>
        <sz val="11"/>
        <color theme="1"/>
        <rFont val="Calibri"/>
        <family val="2"/>
        <scheme val="minor"/>
      </rPr>
      <t>Dispatch Cost</t>
    </r>
    <r>
      <rPr>
        <sz val="11"/>
        <color theme="1"/>
        <rFont val="Calibri"/>
        <family val="2"/>
        <scheme val="minor"/>
      </rPr>
      <t xml:space="preserve"> for all products?</t>
    </r>
  </si>
  <si>
    <r>
      <t xml:space="preserve">2. What is the total </t>
    </r>
    <r>
      <rPr>
        <b/>
        <sz val="11"/>
        <color theme="1"/>
        <rFont val="Calibri"/>
        <family val="2"/>
        <scheme val="minor"/>
      </rPr>
      <t>Packaging Charges</t>
    </r>
    <r>
      <rPr>
        <sz val="11"/>
        <color theme="1"/>
        <rFont val="Calibri"/>
        <family val="2"/>
        <scheme val="minor"/>
      </rPr>
      <t xml:space="preserve"> for all dispatches?</t>
    </r>
  </si>
  <si>
    <r>
      <t xml:space="preserve">3. What is the total </t>
    </r>
    <r>
      <rPr>
        <b/>
        <sz val="11"/>
        <color theme="1"/>
        <rFont val="Calibri"/>
        <family val="2"/>
        <scheme val="minor"/>
      </rPr>
      <t>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</si>
  <si>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4. What is the </t>
    </r>
    <r>
      <rPr>
        <b/>
        <sz val="11"/>
        <color theme="1"/>
        <rFont val="Calibri"/>
        <family val="2"/>
        <scheme val="minor"/>
      </rPr>
      <t>average Weight (kg)</t>
    </r>
    <r>
      <rPr>
        <sz val="11"/>
        <color theme="1"/>
        <rFont val="Calibri"/>
        <family val="2"/>
        <scheme val="minor"/>
      </rPr>
      <t xml:space="preserve"> of the dispatched items?</t>
    </r>
  </si>
  <si>
    <r>
      <t xml:space="preserve">5. What is the </t>
    </r>
    <r>
      <rPr>
        <b/>
        <sz val="11"/>
        <color theme="1"/>
        <rFont val="Calibri"/>
        <family val="2"/>
        <scheme val="minor"/>
      </rPr>
      <t>average Dispatch Cost</t>
    </r>
    <r>
      <rPr>
        <sz val="11"/>
        <color theme="1"/>
        <rFont val="Calibri"/>
        <family val="2"/>
        <scheme val="minor"/>
      </rPr>
      <t>?</t>
    </r>
  </si>
  <si>
    <r>
      <t xml:space="preserve">6. What is the average </t>
    </r>
    <r>
      <rPr>
        <b/>
        <sz val="11"/>
        <color theme="1"/>
        <rFont val="Calibri"/>
        <family val="2"/>
        <scheme val="minor"/>
      </rPr>
      <t>Packaging Charge</t>
    </r>
    <r>
      <rPr>
        <sz val="11"/>
        <color theme="1"/>
        <rFont val="Calibri"/>
        <family val="2"/>
        <scheme val="minor"/>
      </rPr>
      <t xml:space="preserve"> per product?</t>
    </r>
  </si>
  <si>
    <r>
      <t xml:space="preserve">8. How many entries have numeric values in </t>
    </r>
    <r>
      <rPr>
        <b/>
        <sz val="11"/>
        <color theme="1"/>
        <rFont val="Calibri"/>
        <family val="2"/>
        <scheme val="minor"/>
      </rPr>
      <t>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</si>
  <si>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7. How many products have  </t>
    </r>
    <r>
      <rPr>
        <b/>
        <sz val="11"/>
        <color theme="1"/>
        <rFont val="Calibri"/>
        <family val="2"/>
        <scheme val="minor"/>
      </rPr>
      <t>Dispatch Cost</t>
    </r>
    <r>
      <rPr>
        <sz val="11"/>
        <color theme="1"/>
        <rFont val="Calibri"/>
        <family val="2"/>
        <scheme val="minor"/>
      </rPr>
      <t>?</t>
    </r>
  </si>
  <si>
    <t>9.How many product names are listed?</t>
  </si>
  <si>
    <r>
      <t xml:space="preserve">10.How many total entries are there in the </t>
    </r>
    <r>
      <rPr>
        <b/>
        <sz val="11"/>
        <color theme="1"/>
        <rFont val="Calibri"/>
        <family val="2"/>
        <scheme val="minor"/>
      </rPr>
      <t>Packaging Charge</t>
    </r>
    <r>
      <rPr>
        <sz val="11"/>
        <color theme="1"/>
        <rFont val="Calibri"/>
        <family val="2"/>
        <scheme val="minor"/>
      </rPr>
      <t xml:space="preserve"> column?</t>
    </r>
  </si>
  <si>
    <r>
      <t xml:space="preserve">11. What is the </t>
    </r>
    <r>
      <rPr>
        <b/>
        <sz val="11"/>
        <color theme="1"/>
        <rFont val="Calibri"/>
        <family val="2"/>
        <scheme val="minor"/>
      </rPr>
      <t>maximum 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</si>
  <si>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12. Which product has the </t>
    </r>
    <r>
      <rPr>
        <b/>
        <sz val="11"/>
        <color theme="1"/>
        <rFont val="Calibri"/>
        <family val="2"/>
        <scheme val="minor"/>
      </rPr>
      <t>highest Dispatch Cost</t>
    </r>
    <r>
      <rPr>
        <sz val="11"/>
        <color theme="1"/>
        <rFont val="Calibri"/>
        <family val="2"/>
        <scheme val="minor"/>
      </rPr>
      <t>?</t>
    </r>
  </si>
  <si>
    <r>
      <t xml:space="preserve">13. What is the </t>
    </r>
    <r>
      <rPr>
        <b/>
        <sz val="11"/>
        <color theme="1"/>
        <rFont val="Calibri"/>
        <family val="2"/>
        <scheme val="minor"/>
      </rPr>
      <t>lowest Packaging Charge</t>
    </r>
    <r>
      <rPr>
        <sz val="11"/>
        <color theme="1"/>
        <rFont val="Calibri"/>
        <family val="2"/>
        <scheme val="minor"/>
      </rPr>
      <t>?</t>
    </r>
  </si>
  <si>
    <r>
      <t xml:space="preserve">14. Which product has the </t>
    </r>
    <r>
      <rPr>
        <b/>
        <sz val="11"/>
        <color theme="1"/>
        <rFont val="Calibri"/>
        <family val="2"/>
        <scheme val="minor"/>
      </rPr>
      <t>minimum Weight (kg)</t>
    </r>
    <r>
      <rPr>
        <sz val="11"/>
        <color theme="1"/>
        <rFont val="Calibri"/>
        <family val="2"/>
        <scheme val="minor"/>
      </rPr>
      <t>?</t>
    </r>
  </si>
  <si>
    <r>
      <t xml:space="preserve">15. Round the </t>
    </r>
    <r>
      <rPr>
        <b/>
        <sz val="11"/>
        <color theme="1"/>
        <rFont val="Calibri"/>
        <family val="2"/>
        <scheme val="minor"/>
      </rPr>
      <t>Weight</t>
    </r>
    <r>
      <rPr>
        <sz val="11"/>
        <color theme="1"/>
        <rFont val="Calibri"/>
        <family val="2"/>
        <scheme val="minor"/>
      </rPr>
      <t xml:space="preserve"> of the first product to 1 decimal place.</t>
    </r>
  </si>
  <si>
    <t>NA</t>
  </si>
  <si>
    <t>VLOOKU+MAX</t>
  </si>
  <si>
    <r>
      <rPr>
        <b/>
        <u/>
        <sz val="16"/>
        <color rgb="FF92D050"/>
        <rFont val="Calibri"/>
        <family val="2"/>
        <scheme val="minor"/>
      </rPr>
      <t>🧾</t>
    </r>
    <r>
      <rPr>
        <b/>
        <u/>
        <sz val="16"/>
        <color theme="1"/>
        <rFont val="Calibri"/>
        <family val="2"/>
        <scheme val="minor"/>
      </rPr>
      <t>Product Pricing and Discount Register</t>
    </r>
  </si>
  <si>
    <r>
      <rPr>
        <u/>
        <sz val="16"/>
        <color rgb="FF00B0F0"/>
        <rFont val="Calibri"/>
        <family val="2"/>
        <scheme val="minor"/>
      </rPr>
      <t>🚚</t>
    </r>
    <r>
      <rPr>
        <u/>
        <sz val="16"/>
        <color theme="1"/>
        <rFont val="Calibri"/>
        <family val="2"/>
        <scheme val="minor"/>
      </rPr>
      <t xml:space="preserve"> </t>
    </r>
    <r>
      <rPr>
        <b/>
        <u/>
        <sz val="16"/>
        <color theme="1"/>
        <rFont val="Calibri"/>
        <family val="2"/>
        <scheme val="minor"/>
      </rPr>
      <t>Transportation Cost Analysis</t>
    </r>
  </si>
  <si>
    <r>
      <rPr>
        <b/>
        <sz val="20"/>
        <color theme="5" tint="-0.249977111117893"/>
        <rFont val="Calibri"/>
        <family val="2"/>
        <scheme val="minor"/>
      </rPr>
      <t>📦</t>
    </r>
    <r>
      <rPr>
        <b/>
        <sz val="20"/>
        <color theme="1"/>
        <rFont val="Calibri"/>
        <family val="2"/>
        <scheme val="minor"/>
      </rPr>
      <t>Dispatch Executive Data</t>
    </r>
  </si>
  <si>
    <t>Order ID</t>
  </si>
  <si>
    <t>Product Category</t>
  </si>
  <si>
    <t>Cost per Unit</t>
  </si>
  <si>
    <t>Supplier</t>
  </si>
  <si>
    <t>Electronics</t>
  </si>
  <si>
    <t>Delta Corp</t>
  </si>
  <si>
    <t>Furniture</t>
  </si>
  <si>
    <t>Prime Supply</t>
  </si>
  <si>
    <t>Apparel</t>
  </si>
  <si>
    <t>Neo Traders</t>
  </si>
  <si>
    <r>
      <rPr>
        <b/>
        <sz val="16"/>
        <color rgb="FF00B050"/>
        <rFont val="Calibri"/>
        <family val="2"/>
        <scheme val="minor"/>
      </rPr>
      <t>📊</t>
    </r>
    <r>
      <rPr>
        <b/>
        <sz val="16"/>
        <color theme="1"/>
        <rFont val="Calibri"/>
        <family val="2"/>
        <scheme val="minor"/>
      </rPr>
      <t xml:space="preserve"> Dataset: Supply Chain Order Report</t>
    </r>
  </si>
  <si>
    <r>
      <t xml:space="preserve">Find the total quantity of orders from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</si>
  <si>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products ordered.</t>
    </r>
  </si>
  <si>
    <r>
      <t xml:space="preserve">Calculate the total quantity of products supplied by </t>
    </r>
    <r>
      <rPr>
        <b/>
        <sz val="11"/>
        <color theme="1"/>
        <rFont val="Calibri"/>
        <family val="2"/>
        <scheme val="minor"/>
      </rPr>
      <t>Delta Corp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</si>
  <si>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of </t>
    </r>
    <r>
      <rPr>
        <b/>
        <sz val="11"/>
        <color theme="1"/>
        <rFont val="Calibri"/>
        <family val="2"/>
        <scheme val="minor"/>
      </rPr>
      <t>Apparel</t>
    </r>
    <r>
      <rPr>
        <sz val="11"/>
        <color theme="1"/>
        <rFont val="Calibri"/>
        <family val="2"/>
        <scheme val="minor"/>
      </rPr>
      <t xml:space="preserve"> ordered across all regions?</t>
    </r>
  </si>
  <si>
    <r>
      <t xml:space="preserve">Calculate the total number of products ordered in the </t>
    </r>
    <r>
      <rPr>
        <b/>
        <sz val="11"/>
        <color theme="1"/>
        <rFont val="Calibri"/>
        <family val="2"/>
        <scheme val="minor"/>
      </rPr>
      <t>East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</si>
  <si>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supplied by </t>
    </r>
    <r>
      <rPr>
        <b/>
        <sz val="11"/>
        <color theme="1"/>
        <rFont val="Calibri"/>
        <family val="2"/>
        <scheme val="minor"/>
      </rPr>
      <t>Prime Supply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</si>
  <si>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ordered from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 by </t>
    </r>
    <r>
      <rPr>
        <b/>
        <sz val="11"/>
        <color theme="1"/>
        <rFont val="Calibri"/>
        <family val="2"/>
        <scheme val="minor"/>
      </rPr>
      <t>Neo Traders</t>
    </r>
    <r>
      <rPr>
        <sz val="11"/>
        <color theme="1"/>
        <rFont val="Calibri"/>
        <family val="2"/>
        <scheme val="minor"/>
      </rPr>
      <t>?</t>
    </r>
  </si>
  <si>
    <r>
      <t xml:space="preserve">Find the quantity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ordered in 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</si>
  <si>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Calculate the total quantity of all products supplied by </t>
    </r>
    <r>
      <rPr>
        <b/>
        <sz val="11"/>
        <color theme="1"/>
        <rFont val="Calibri"/>
        <family val="2"/>
        <scheme val="minor"/>
      </rPr>
      <t>Neo Traders</t>
    </r>
    <r>
      <rPr>
        <sz val="11"/>
        <color theme="1"/>
        <rFont val="Calibri"/>
        <family val="2"/>
        <scheme val="minor"/>
      </rPr>
      <t>.</t>
    </r>
  </si>
  <si>
    <r>
      <t xml:space="preserve">How many units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were supplied overall?</t>
    </r>
  </si>
  <si>
    <r>
      <t xml:space="preserve">Sum the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products ordered in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</si>
  <si>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What is the quantity of </t>
    </r>
    <r>
      <rPr>
        <b/>
        <sz val="11"/>
        <color theme="1"/>
        <rFont val="Calibri"/>
        <family val="2"/>
        <scheme val="minor"/>
      </rPr>
      <t>Apparel</t>
    </r>
    <r>
      <rPr>
        <sz val="11"/>
        <color theme="1"/>
        <rFont val="Calibri"/>
        <family val="2"/>
        <scheme val="minor"/>
      </rPr>
      <t xml:space="preserve"> ordered in each region?</t>
    </r>
  </si>
  <si>
    <r>
      <t xml:space="preserve">Find the total quantity of all orders where </t>
    </r>
    <r>
      <rPr>
        <b/>
        <sz val="11"/>
        <color theme="1"/>
        <rFont val="Calibri"/>
        <family val="2"/>
        <scheme val="minor"/>
      </rPr>
      <t>Cost per Unit is more than ₹1000</t>
    </r>
    <r>
      <rPr>
        <sz val="11"/>
        <color theme="1"/>
        <rFont val="Calibri"/>
        <family val="2"/>
        <scheme val="minor"/>
      </rPr>
      <t>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</si>
  <si>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supplied by </t>
    </r>
    <r>
      <rPr>
        <b/>
        <sz val="11"/>
        <color theme="1"/>
        <rFont val="Calibri"/>
        <family val="2"/>
        <scheme val="minor"/>
      </rPr>
      <t>Delta Corp</t>
    </r>
    <r>
      <rPr>
        <sz val="11"/>
        <color theme="1"/>
        <rFont val="Calibri"/>
        <family val="2"/>
        <scheme val="minor"/>
      </rPr>
      <t>.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</si>
  <si>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total quantity</t>
    </r>
    <r>
      <rPr>
        <sz val="11"/>
        <color theme="1"/>
        <rFont val="Calibri"/>
        <family val="2"/>
        <scheme val="minor"/>
      </rPr>
      <t xml:space="preserve"> ordered across all regions?</t>
    </r>
  </si>
  <si>
    <t>Item ID</t>
  </si>
  <si>
    <t>Category</t>
  </si>
  <si>
    <t>Location</t>
  </si>
  <si>
    <t>Stock Qty</t>
  </si>
  <si>
    <t>Unit Cost</t>
  </si>
  <si>
    <t>INV001</t>
  </si>
  <si>
    <t>Warehouse1</t>
  </si>
  <si>
    <t>PowerTech</t>
  </si>
  <si>
    <t>INV002</t>
  </si>
  <si>
    <t>Warehouse2</t>
  </si>
  <si>
    <t>INV003</t>
  </si>
  <si>
    <t>Stationery</t>
  </si>
  <si>
    <t>OfficeMart</t>
  </si>
  <si>
    <t>INV004</t>
  </si>
  <si>
    <t>Warehouse3</t>
  </si>
  <si>
    <t>INV005</t>
  </si>
  <si>
    <t>INV006</t>
  </si>
  <si>
    <t>INV007</t>
  </si>
  <si>
    <t>Inventory Stock Summary – June 2025</t>
  </si>
  <si>
    <r>
      <t xml:space="preserve">What is the total </t>
    </r>
    <r>
      <rPr>
        <b/>
        <sz val="11"/>
        <color theme="1"/>
        <rFont val="Calibri"/>
        <family val="2"/>
        <scheme val="minor"/>
      </rPr>
      <t>stock quantity of Electronics</t>
    </r>
    <r>
      <rPr>
        <sz val="11"/>
        <color theme="1"/>
        <rFont val="Calibri"/>
        <family val="2"/>
        <scheme val="minor"/>
      </rPr>
      <t xml:space="preserve"> items?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</si>
  <si>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total stock quantity in Warehouse1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</si>
  <si>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quantity of items supplied by </t>
    </r>
    <r>
      <rPr>
        <b/>
        <sz val="11"/>
        <color theme="1"/>
        <rFont val="Calibri"/>
        <family val="2"/>
        <scheme val="minor"/>
      </rPr>
      <t>OfficeMart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</si>
  <si>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items?</t>
    </r>
  </si>
  <si>
    <t>What is the total stock quantity of "Electronics" items located in "Warehouse2"?</t>
  </si>
  <si>
    <t>Calculate the total stock quantity supplied by "PowerTech" from "Warehouse1".</t>
  </si>
  <si>
    <t>Find the total stock quantity of items in "Warehouse2" that belong to the "Furniture" category.</t>
  </si>
  <si>
    <t>What is the total stock quantity of items supplied by "OfficeMart" and located in "Warehouse2"?</t>
  </si>
  <si>
    <t>Find the total quantity of "Stationery" items with a unit cost less than 100.</t>
  </si>
  <si>
    <t>What is the total quantity of Electronics ordered from the East region?</t>
  </si>
  <si>
    <t>Find the total quantity of Apparel supplied by Neo Traders.</t>
  </si>
  <si>
    <t>Calculate the total quantity of Furniture orders from the South region.</t>
  </si>
  <si>
    <t>What is the total quantity of products with a Cost per Unit greater than ₹1000 and supplied by Delta Corp?</t>
  </si>
  <si>
    <t>Find the total quantity of Electronics ordered from all regions except West.</t>
  </si>
  <si>
    <t>What is the total quantity of orders from the North region for suppliers other than Prime Supply?</t>
  </si>
  <si>
    <t>Calculate the total quantity of all products in the East region that cost more than ₹1000 per unit.</t>
  </si>
  <si>
    <t>Find the total quantity of Furniture supplied by Prime Supply in West and South regions.</t>
  </si>
  <si>
    <t>What is the total quantity of Apparel with a cost per unit less than ₹500?</t>
  </si>
  <si>
    <t>Find the quantity of Electronics products supplied by Delta Corp from the North and East regions.</t>
  </si>
  <si>
    <t>Request ID</t>
  </si>
  <si>
    <t>Item Category</t>
  </si>
  <si>
    <t>PR001</t>
  </si>
  <si>
    <t>Approved</t>
  </si>
  <si>
    <t>TechMart</t>
  </si>
  <si>
    <t>PR002</t>
  </si>
  <si>
    <t>Pending</t>
  </si>
  <si>
    <t>OfficeNeeds</t>
  </si>
  <si>
    <t>PR003</t>
  </si>
  <si>
    <t>PR004</t>
  </si>
  <si>
    <t>Rejected</t>
  </si>
  <si>
    <t>PR005</t>
  </si>
  <si>
    <t>PR006</t>
  </si>
  <si>
    <t>Admin</t>
  </si>
  <si>
    <t>PR007</t>
  </si>
  <si>
    <t>FurniDepot</t>
  </si>
  <si>
    <t>PR008</t>
  </si>
  <si>
    <t>PR009</t>
  </si>
  <si>
    <t>PR010</t>
  </si>
  <si>
    <r>
      <rPr>
        <b/>
        <sz val="18"/>
        <color rgb="FFFFC000"/>
        <rFont val="Calibri"/>
        <family val="2"/>
        <scheme val="minor"/>
      </rPr>
      <t>📋</t>
    </r>
    <r>
      <rPr>
        <b/>
        <sz val="18"/>
        <color theme="1"/>
        <rFont val="Calibri"/>
        <family val="2"/>
        <scheme val="minor"/>
      </rPr>
      <t xml:space="preserve"> Procurement Requests</t>
    </r>
  </si>
  <si>
    <r>
      <t xml:space="preserve">A </t>
    </r>
    <r>
      <rPr>
        <b/>
        <sz val="11"/>
        <color theme="1"/>
        <rFont val="Calibri"/>
        <family val="2"/>
        <scheme val="minor"/>
      </rPr>
      <t>Procurement Request</t>
    </r>
    <r>
      <rPr>
        <sz val="11"/>
        <color theme="1"/>
        <rFont val="Calibri"/>
        <family val="2"/>
        <scheme val="minor"/>
      </rPr>
      <t xml:space="preserve"> is a formal request made by a department or employee within an organization to </t>
    </r>
    <r>
      <rPr>
        <b/>
        <sz val="11"/>
        <color theme="1"/>
        <rFont val="Calibri"/>
        <family val="2"/>
        <scheme val="minor"/>
      </rPr>
      <t>purchase goods or services</t>
    </r>
    <r>
      <rPr>
        <sz val="11"/>
        <color theme="1"/>
        <rFont val="Calibri"/>
        <family val="2"/>
        <scheme val="minor"/>
      </rPr>
      <t>.</t>
    </r>
  </si>
  <si>
    <t>1. How many procurement requests are in "Approved" status?</t>
  </si>
  <si>
    <r>
      <t xml:space="preserve">👉 </t>
    </r>
    <r>
      <rPr>
        <i/>
        <sz val="11"/>
        <color theme="1"/>
        <rFont val="Calibri"/>
        <family val="2"/>
        <scheme val="minor"/>
      </rPr>
      <t>(Count how many times "Approved" appears in the Status column)</t>
    </r>
  </si>
  <si>
    <t>2. How many requests were submitted by the "HR" department?</t>
  </si>
  <si>
    <t>3. How many requests were made for the item category "Electronics"?</t>
  </si>
  <si>
    <t>4. How many approved requests came from the "IT" department?</t>
  </si>
  <si>
    <r>
      <t xml:space="preserve">👉 </t>
    </r>
    <r>
      <rPr>
        <i/>
        <sz val="11"/>
        <color theme="1"/>
        <rFont val="Calibri"/>
        <family val="2"/>
        <scheme val="minor"/>
      </rPr>
      <t xml:space="preserve">(Count where Department is IT </t>
    </r>
    <r>
      <rPr>
        <b/>
        <i/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Status is Approved)</t>
    </r>
  </si>
  <si>
    <t>5. How many requests for "Stationery" items were supplied by "OfficeNeeds"?</t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</si>
  <si>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COUNTIF:</t>
    </r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</si>
  <si>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COUNTIFS:</t>
    </r>
  </si>
  <si>
    <t>Vehicle ID</t>
  </si>
  <si>
    <t>Type</t>
  </si>
  <si>
    <t>Fuel Type</t>
  </si>
  <si>
    <t>Service Due</t>
  </si>
  <si>
    <t>Driver</t>
  </si>
  <si>
    <t>FL001</t>
  </si>
  <si>
    <t>Truck</t>
  </si>
  <si>
    <t>Depot A</t>
  </si>
  <si>
    <t>Diesel</t>
  </si>
  <si>
    <t>Yes</t>
  </si>
  <si>
    <t>Ramesh</t>
  </si>
  <si>
    <t>FL002</t>
  </si>
  <si>
    <t>Van</t>
  </si>
  <si>
    <t>Depot B</t>
  </si>
  <si>
    <t>In Repair</t>
  </si>
  <si>
    <t>Petrol</t>
  </si>
  <si>
    <t>No</t>
  </si>
  <si>
    <t>Suresh</t>
  </si>
  <si>
    <t>FL003</t>
  </si>
  <si>
    <t>Car</t>
  </si>
  <si>
    <t>Anita</t>
  </si>
  <si>
    <t>FL004</t>
  </si>
  <si>
    <t>Depot C</t>
  </si>
  <si>
    <t>FL005</t>
  </si>
  <si>
    <t>Retired</t>
  </si>
  <si>
    <t>CNG</t>
  </si>
  <si>
    <t>Jaya</t>
  </si>
  <si>
    <t>FL006</t>
  </si>
  <si>
    <t>FL007</t>
  </si>
  <si>
    <t>FL008</t>
  </si>
  <si>
    <t>FL009</t>
  </si>
  <si>
    <t>FL010</t>
  </si>
  <si>
    <t>Fleet Operations Log – June 2025</t>
  </si>
  <si>
    <r>
      <t>Fleet Management</t>
    </r>
    <r>
      <rPr>
        <sz val="11"/>
        <color theme="1"/>
        <rFont val="Calibri"/>
        <family val="2"/>
        <scheme val="minor"/>
      </rPr>
      <t xml:space="preserve"> is the process of </t>
    </r>
    <r>
      <rPr>
        <b/>
        <sz val="11"/>
        <color theme="1"/>
        <rFont val="Calibri"/>
        <family val="2"/>
        <scheme val="minor"/>
      </rPr>
      <t>organizing and coordinating vehicles</t>
    </r>
    <r>
      <rPr>
        <sz val="11"/>
        <color theme="1"/>
        <rFont val="Calibri"/>
        <family val="2"/>
        <scheme val="minor"/>
      </rPr>
      <t xml:space="preserve"> used by a business or organization.</t>
    </r>
  </si>
  <si>
    <t>1. How many vehicles are currently marked as "Active"?</t>
  </si>
  <si>
    <t>2. How many vehicles are located in "Depot A"?</t>
  </si>
  <si>
    <t>3. Count how many vehicles are of type "Truck".</t>
  </si>
  <si>
    <t>4. How many vehicles are due for service ("Yes")?</t>
  </si>
  <si>
    <t>5. Count how many vehicles use "Diesel" as fuel.</t>
  </si>
  <si>
    <t>6. How many drivers are assigned to "Ramesh"?</t>
  </si>
  <si>
    <t>7. How many vehicles are in the "Retired" status?</t>
  </si>
  <si>
    <t>8. Count how many vehicles are of type "Van".</t>
  </si>
  <si>
    <t>9. How many "Active" trucks are located in "Depot A"?</t>
  </si>
  <si>
    <t>10. Count how many vehicles of type "Car" are in "Depot C" and marked as "In Repair".</t>
  </si>
  <si>
    <t>11. How many vehicles driven by "Ramesh" are due for service?</t>
  </si>
  <si>
    <t>12. How many "Diesel" vehicles are located in "Depot B"?</t>
  </si>
  <si>
    <t>13. How many "Petrol" vehicles are "Active"?</t>
  </si>
  <si>
    <t>14. How many vehicles in "Depot A" are not due for service?</t>
  </si>
  <si>
    <t>15. Count how many "Vans" are in "Depot B" and have the status "Active".</t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</si>
  <si>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 Questions (Single Condition):</t>
    </r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</si>
  <si>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COUNTIFS Questions (Multiple Conditions):</t>
    </r>
  </si>
  <si>
    <r>
      <t xml:space="preserve">Round the </t>
    </r>
    <r>
      <rPr>
        <b/>
        <sz val="11"/>
        <color theme="1"/>
        <rFont val="Calibri"/>
        <charset val="134"/>
        <scheme val="minor"/>
      </rPr>
      <t>total trip cost</t>
    </r>
    <r>
      <rPr>
        <sz val="11"/>
        <color theme="1"/>
        <rFont val="Calibri"/>
        <charset val="134"/>
        <scheme val="minor"/>
      </rPr>
      <t xml:space="preserve"> to 1 decimal places      </t>
    </r>
    <r>
      <rPr>
        <sz val="11"/>
        <color rgb="FFFF0000"/>
        <rFont val="Calibri"/>
        <family val="2"/>
        <scheme val="minor"/>
      </rPr>
      <t>ROUND()</t>
    </r>
  </si>
  <si>
    <t xml:space="preserve"> Trip Cost ₹</t>
  </si>
  <si>
    <r>
      <t xml:space="preserve">Round up the Fuel ₹/km </t>
    </r>
    <r>
      <rPr>
        <sz val="11"/>
        <color theme="1"/>
        <rFont val="Calibri"/>
        <charset val="134"/>
        <scheme val="minor"/>
      </rPr>
      <t xml:space="preserve">of a trip to the next whole number.   </t>
    </r>
    <r>
      <rPr>
        <sz val="11"/>
        <color rgb="FFFF0000"/>
        <rFont val="Calibri"/>
        <family val="2"/>
        <scheme val="minor"/>
      </rPr>
      <t>ROUNDUP()</t>
    </r>
  </si>
  <si>
    <t>&gt;1000</t>
  </si>
  <si>
    <t>&lt;100</t>
  </si>
  <si>
    <t>&lt;&gt;west</t>
  </si>
  <si>
    <t>&lt;&gt;prime supply</t>
  </si>
  <si>
    <t>&lt;500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</si>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</sst>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₹&quot;\ #,##0.00;[Red]&quot;₹&quot;\ \-#,##0.00"/>
    <numFmt numFmtId="164" formatCode="&quot;₹&quot;\ #,##0.0;[Red]&quot;₹&quot;\ \-#,##0.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6"/>
      <color rgb="FF92D050"/>
      <name val="Calibri"/>
      <family val="2"/>
      <scheme val="minor"/>
    </font>
    <font>
      <u/>
      <sz val="16"/>
      <color rgb="FF00B0F0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9" fillId="2" borderId="2" xfId="0" applyFont="1" applyFill="1" applyBorder="1" applyAlignment="1">
      <alignment horizontal="left" vertical="center" readingOrder="1"/>
    </xf>
    <xf numFmtId="0" fontId="9" fillId="2" borderId="2" xfId="0" applyFont="1" applyFill="1" applyBorder="1">
      <alignment vertical="center"/>
    </xf>
    <xf numFmtId="0" fontId="9" fillId="2" borderId="6" xfId="0" applyFont="1" applyFill="1" applyBorder="1">
      <alignment vertical="center"/>
    </xf>
    <xf numFmtId="0" fontId="0" fillId="2" borderId="3" xfId="0" applyFill="1" applyBorder="1">
      <alignment vertical="center"/>
    </xf>
    <xf numFmtId="0" fontId="9" fillId="2" borderId="0" xfId="0" applyFont="1" applyFill="1" applyAlignment="1">
      <alignment horizontal="left" vertical="center" readingOrder="1"/>
    </xf>
    <xf numFmtId="0" fontId="9" fillId="2" borderId="0" xfId="0" applyFont="1" applyFill="1">
      <alignment vertical="center"/>
    </xf>
    <xf numFmtId="0" fontId="9" fillId="2" borderId="7" xfId="0" applyFont="1" applyFill="1" applyBorder="1">
      <alignment vertical="center"/>
    </xf>
    <xf numFmtId="0" fontId="0" fillId="2" borderId="4" xfId="0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8" xfId="0" applyFont="1" applyFill="1" applyBorder="1">
      <alignment vertical="center"/>
    </xf>
    <xf numFmtId="0" fontId="20" fillId="2" borderId="0" xfId="0" applyFont="1" applyFill="1">
      <alignment vertical="center"/>
    </xf>
    <xf numFmtId="0" fontId="20" fillId="2" borderId="18" xfId="0" applyFont="1" applyFill="1" applyBorder="1">
      <alignment vertical="center"/>
    </xf>
    <xf numFmtId="0" fontId="20" fillId="2" borderId="9" xfId="0" applyFont="1" applyFill="1" applyBorder="1">
      <alignment vertical="center"/>
    </xf>
    <xf numFmtId="0" fontId="13" fillId="2" borderId="10" xfId="0" applyFont="1" applyFill="1" applyBorder="1" applyAlignment="1"/>
    <xf numFmtId="0" fontId="0" fillId="2" borderId="9" xfId="0" applyFill="1" applyBorder="1">
      <alignment vertical="center"/>
    </xf>
    <xf numFmtId="0" fontId="12" fillId="2" borderId="10" xfId="0" applyFont="1" applyFill="1" applyBorder="1" applyAlignment="1">
      <alignment horizontal="center"/>
    </xf>
    <xf numFmtId="0" fontId="12" fillId="2" borderId="10" xfId="0" applyFont="1" applyFill="1" applyBorder="1" applyAlignment="1"/>
    <xf numFmtId="49" fontId="12" fillId="2" borderId="10" xfId="0" applyNumberFormat="1" applyFont="1" applyFill="1" applyBorder="1" applyAlignment="1"/>
    <xf numFmtId="0" fontId="11" fillId="2" borderId="10" xfId="0" applyFont="1" applyFill="1" applyBorder="1" applyAlignment="1"/>
    <xf numFmtId="49" fontId="11" fillId="2" borderId="10" xfId="0" applyNumberFormat="1" applyFont="1" applyFill="1" applyBorder="1" applyAlignment="1"/>
    <xf numFmtId="0" fontId="14" fillId="2" borderId="9" xfId="0" applyFont="1" applyFill="1" applyBorder="1">
      <alignment vertical="center"/>
    </xf>
    <xf numFmtId="0" fontId="16" fillId="2" borderId="9" xfId="0" applyFont="1" applyFill="1" applyBorder="1" applyAlignment="1"/>
    <xf numFmtId="0" fontId="18" fillId="2" borderId="9" xfId="0" applyFont="1" applyFill="1" applyBorder="1" applyAlignment="1"/>
    <xf numFmtId="0" fontId="19" fillId="2" borderId="9" xfId="0" applyFont="1" applyFill="1" applyBorder="1" applyAlignment="1"/>
    <xf numFmtId="0" fontId="17" fillId="2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15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0" fillId="0" borderId="21" xfId="0" applyBorder="1">
      <alignment vertical="center"/>
    </xf>
    <xf numFmtId="0" fontId="20" fillId="2" borderId="21" xfId="0" applyFont="1" applyFill="1" applyBorder="1">
      <alignment vertical="center"/>
    </xf>
    <xf numFmtId="0" fontId="21" fillId="2" borderId="9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25" fillId="0" borderId="21" xfId="0" applyFont="1" applyBorder="1">
      <alignment vertical="center"/>
    </xf>
    <xf numFmtId="0" fontId="23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8" fontId="0" fillId="0" borderId="21" xfId="0" applyNumberFormat="1" applyBorder="1" applyAlignment="1">
      <alignment vertical="center" wrapText="1"/>
    </xf>
    <xf numFmtId="0" fontId="0" fillId="3" borderId="21" xfId="0" applyFill="1" applyBorder="1">
      <alignment vertical="center"/>
    </xf>
    <xf numFmtId="2" fontId="11" fillId="2" borderId="10" xfId="0" applyNumberFormat="1" applyFont="1" applyFill="1" applyBorder="1" applyAlignment="1"/>
    <xf numFmtId="0" fontId="6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21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33" fillId="0" borderId="0" xfId="0" applyFont="1">
      <alignment vertical="center"/>
    </xf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8" fontId="0" fillId="0" borderId="21" xfId="0" applyNumberFormat="1" applyBorder="1">
      <alignment vertical="center"/>
    </xf>
    <xf numFmtId="164" fontId="0" fillId="3" borderId="21" xfId="0" applyNumberFormat="1" applyFill="1" applyBorder="1">
      <alignment vertical="center"/>
    </xf>
    <xf numFmtId="8" fontId="0" fillId="3" borderId="21" xfId="0" applyNumberFormat="1" applyFill="1" applyBorder="1">
      <alignment vertical="center"/>
    </xf>
    <xf numFmtId="0" fontId="2" fillId="0" borderId="2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13" fillId="2" borderId="20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3" xfId="0" applyFont="1" applyFill="1" applyBorder="1" applyAlignment="1">
      <alignment horizontal="right"/>
    </xf>
    <xf numFmtId="0" fontId="13" fillId="2" borderId="14" xfId="0" applyFont="1" applyFill="1" applyBorder="1" applyAlignment="1">
      <alignment horizontal="right"/>
    </xf>
    <xf numFmtId="0" fontId="13" fillId="2" borderId="19" xfId="0" applyFont="1" applyFill="1" applyBorder="1" applyAlignment="1">
      <alignment horizontal="right"/>
    </xf>
    <xf numFmtId="0" fontId="15" fillId="2" borderId="15" xfId="0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9" xfId="0" applyFill="1" applyBorder="1">
      <alignment vertical="center"/>
    </xf>
    <xf numFmtId="0" fontId="6" fillId="0" borderId="21" xfId="0" applyFont="1" applyBorder="1">
      <alignment vertical="center"/>
    </xf>
    <xf numFmtId="0" fontId="0" fillId="0" borderId="21" xfId="0" applyBorder="1">
      <alignment vertical="center"/>
    </xf>
    <xf numFmtId="0" fontId="5" fillId="0" borderId="21" xfId="0" applyFont="1" applyBorder="1">
      <alignment vertical="center"/>
    </xf>
    <xf numFmtId="0" fontId="4" fillId="0" borderId="21" xfId="0" applyFont="1" applyBorder="1">
      <alignment vertical="center"/>
    </xf>
    <xf numFmtId="0" fontId="3" fillId="0" borderId="21" xfId="0" applyFont="1" applyBorder="1">
      <alignment vertical="center"/>
    </xf>
    <xf numFmtId="0" fontId="17" fillId="2" borderId="9" xfId="0" applyFont="1" applyFill="1" applyBorder="1" applyAlignment="1">
      <alignment horizontal="left" vertical="top" wrapText="1"/>
    </xf>
    <xf numFmtId="0" fontId="17" fillId="2" borderId="15" xfId="0" applyFont="1" applyFill="1" applyBorder="1" applyAlignment="1">
      <alignment horizontal="left" vertical="top" wrapText="1"/>
    </xf>
    <xf numFmtId="0" fontId="17" fillId="2" borderId="16" xfId="0" applyFont="1" applyFill="1" applyBorder="1" applyAlignment="1">
      <alignment horizontal="left" vertical="top" wrapText="1"/>
    </xf>
    <xf numFmtId="0" fontId="17" fillId="2" borderId="17" xfId="0" applyFont="1" applyFill="1" applyBorder="1" applyAlignment="1">
      <alignment horizontal="left" vertical="top" wrapText="1"/>
    </xf>
    <xf numFmtId="0" fontId="17" fillId="2" borderId="20" xfId="0" applyFont="1" applyFill="1" applyBorder="1" applyAlignment="1">
      <alignment horizontal="left" vertical="top" wrapText="1"/>
    </xf>
    <xf numFmtId="0" fontId="17" fillId="2" borderId="19" xfId="0" applyFont="1" applyFill="1" applyBorder="1" applyAlignment="1">
      <alignment horizontal="left" vertical="top" wrapText="1"/>
    </xf>
    <xf numFmtId="0" fontId="6" fillId="0" borderId="0" xfId="0" applyFont="1">
      <alignment vertical="center"/>
    </xf>
    <xf numFmtId="0" fontId="6" fillId="3" borderId="0" xfId="0" applyFont="1" applyFill="1" applyAlignment="1">
      <alignment horizontal="left" vertical="center" indent="1"/>
    </xf>
    <xf numFmtId="0" fontId="0" fillId="0" borderId="0" xfId="0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3" borderId="0" xfId="0" applyFont="1" applyFill="1">
      <alignment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2</xdr:row>
      <xdr:rowOff>80962</xdr:rowOff>
    </xdr:from>
    <xdr:to>
      <xdr:col>16</xdr:col>
      <xdr:colOff>504825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CC53F2-4E44-F4F4-6EB6-17310B981CFA}"/>
            </a:ext>
          </a:extLst>
        </xdr:cNvPr>
        <xdr:cNvSpPr txBox="1"/>
      </xdr:nvSpPr>
      <xdr:spPr>
        <a:xfrm>
          <a:off x="1581149" y="461962"/>
          <a:ext cx="8677276" cy="27765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800"/>
            <a:t>CHAPTER-3</a:t>
          </a:r>
        </a:p>
        <a:p>
          <a:pPr algn="ctr"/>
          <a:r>
            <a:rPr lang="en-IN" sz="6000"/>
            <a:t>FORMULAS AND FUNCTIONS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127655</xdr:colOff>
      <xdr:row>0</xdr:row>
      <xdr:rowOff>103188</xdr:rowOff>
    </xdr:from>
    <xdr:to>
      <xdr:col>8</xdr:col>
      <xdr:colOff>39688</xdr:colOff>
      <xdr:row>17</xdr:row>
      <xdr:rowOff>150812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EC85C5-D5A9-4F52-BB83-D6B7F0B5900C}"/>
            </a:ext>
          </a:extLst>
        </xdr:cNvPr>
        <xdr:cNvSpPr txBox="1"/>
      </xdr:nvSpPr>
      <xdr:spPr>
        <a:xfrm>
          <a:off x="127655" y="103188"/>
          <a:ext cx="4801533" cy="328612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SUM()                                                                                                                        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Adds all the numbers in a range.                </a:t>
          </a:r>
        </a:p>
        <a:p>
          <a:r>
            <a:rPr lang="en-IN" sz="1400" b="1"/>
            <a:t>Example</a:t>
          </a:r>
          <a:r>
            <a:rPr lang="en-IN" sz="1400"/>
            <a:t>: =SUM(1, 2, 3, 4)</a:t>
          </a:r>
        </a:p>
        <a:p>
          <a:r>
            <a:rPr lang="en-IN" sz="1400" b="1"/>
            <a:t>Output</a:t>
          </a:r>
          <a:r>
            <a:rPr lang="en-IN" sz="1400"/>
            <a:t>: 10</a:t>
          </a:r>
        </a:p>
        <a:p>
          <a:r>
            <a:rPr lang="en-IN" sz="1400"/>
            <a:t> </a:t>
          </a:r>
        </a:p>
        <a:p>
          <a:r>
            <a:rPr lang="en-IN" sz="1400" b="1" u="sng"/>
            <a:t>AVERAGE()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Calculates the average of numbers in a range.</a:t>
          </a:r>
        </a:p>
        <a:p>
          <a:r>
            <a:rPr lang="en-IN" sz="1400" b="1"/>
            <a:t>Example</a:t>
          </a:r>
          <a:r>
            <a:rPr lang="en-IN" sz="1400"/>
            <a:t>: =AVERAGE(10, 20, 30, 40)</a:t>
          </a:r>
        </a:p>
        <a:p>
          <a:r>
            <a:rPr lang="en-IN" sz="1400" b="1"/>
            <a:t>Output</a:t>
          </a:r>
          <a:r>
            <a:rPr lang="en-IN" sz="1400"/>
            <a:t>: 25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  <a:p>
          <a:r>
            <a:rPr lang="en-IN" sz="1400" b="1" u="sng"/>
            <a:t>ROUND()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Rounds a number to a specified number of digits.</a:t>
          </a:r>
        </a:p>
        <a:p>
          <a:r>
            <a:rPr lang="en-IN" sz="1400" b="1"/>
            <a:t>Example</a:t>
          </a:r>
          <a:r>
            <a:rPr lang="en-IN" sz="1400"/>
            <a:t>: =ROUND(3.14159, 2)</a:t>
          </a:r>
        </a:p>
        <a:p>
          <a:r>
            <a:rPr lang="en-IN" sz="1400" b="1"/>
            <a:t>Output</a:t>
          </a:r>
          <a:r>
            <a:rPr lang="en-IN" sz="1400"/>
            <a:t>: 3.14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</xdr:txBody>
    </xdr:sp>
    <xdr:clientData/>
  </xdr:twoCellAnchor>
  <xdr:twoCellAnchor>
    <xdr:from>
      <xdr:col>8</xdr:col>
      <xdr:colOff>174625</xdr:colOff>
      <xdr:row>0</xdr:row>
      <xdr:rowOff>103186</xdr:rowOff>
    </xdr:from>
    <xdr:to>
      <xdr:col>16</xdr:col>
      <xdr:colOff>206375</xdr:colOff>
      <xdr:row>17</xdr:row>
      <xdr:rowOff>126999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E1DACB-0ECA-49D2-8373-5382394E656E}"/>
            </a:ext>
          </a:extLst>
        </xdr:cNvPr>
        <xdr:cNvSpPr txBox="1"/>
      </xdr:nvSpPr>
      <xdr:spPr>
        <a:xfrm>
          <a:off x="5064125" y="103186"/>
          <a:ext cx="4921250" cy="326231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IN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largest value in a range.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=MAX(5, 10, 15, 20)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20</a:t>
          </a:r>
        </a:p>
        <a:p>
          <a:endParaRPr lang="en-IN" sz="1800">
            <a:effectLst/>
          </a:endParaRPr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smallest</a:t>
          </a: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 in a range.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=MIN(5, 10, 15, 20)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5</a:t>
          </a:r>
          <a:endParaRPr lang="en-IN" sz="1800">
            <a:effectLst/>
          </a:endParaRPr>
        </a:p>
        <a:p>
          <a:endParaRPr lang="en-IN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0</xdr:row>
      <xdr:rowOff>71439</xdr:rowOff>
    </xdr:from>
    <xdr:to>
      <xdr:col>8</xdr:col>
      <xdr:colOff>309563</xdr:colOff>
      <xdr:row>16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E62917-DB6D-452C-9DB7-E13B7ABE4D55}"/>
            </a:ext>
          </a:extLst>
        </xdr:cNvPr>
        <xdr:cNvSpPr txBox="1"/>
      </xdr:nvSpPr>
      <xdr:spPr>
        <a:xfrm>
          <a:off x="80962" y="71439"/>
          <a:ext cx="5118101" cy="302418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1. COUNT()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Counts the number of numeric values in a range.</a:t>
          </a:r>
        </a:p>
        <a:p>
          <a:r>
            <a:rPr lang="en-IN" sz="1400" b="1"/>
            <a:t>Example</a:t>
          </a:r>
          <a:r>
            <a:rPr lang="en-IN" sz="1400"/>
            <a:t>: =COUNT(B2:B10)</a:t>
          </a:r>
        </a:p>
        <a:p>
          <a:endParaRPr lang="en-IN" sz="1400"/>
        </a:p>
        <a:p>
          <a:r>
            <a:rPr lang="en-IN" sz="1400" b="1" u="sng"/>
            <a:t>2.COUNTA()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Counts the number of non-empty cells in a range (includes both text and numbers).</a:t>
          </a:r>
        </a:p>
        <a:p>
          <a:r>
            <a:rPr lang="en-IN" sz="1400" b="1"/>
            <a:t>Example</a:t>
          </a:r>
          <a:r>
            <a:rPr lang="en-IN" sz="1400"/>
            <a:t>: =COUNTA(A1:A10)</a:t>
          </a:r>
        </a:p>
        <a:p>
          <a:endParaRPr lang="en-IN" sz="1400"/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3.COUNTBLANK()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Counts the number of empty cells(Blank) in a range (includes both text and numbers).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=COUNTBLANK(A1:A10)</a:t>
          </a:r>
          <a:endParaRPr lang="en-IN" sz="1800">
            <a:effectLst/>
          </a:endParaRPr>
        </a:p>
        <a:p>
          <a:endParaRPr lang="en-IN" sz="1400"/>
        </a:p>
        <a:p>
          <a:endParaRPr lang="en-IN" sz="1400"/>
        </a:p>
        <a:p>
          <a:endParaRPr lang="en-IN" sz="1400"/>
        </a:p>
      </xdr:txBody>
    </xdr:sp>
    <xdr:clientData/>
  </xdr:twoCellAnchor>
  <xdr:twoCellAnchor>
    <xdr:from>
      <xdr:col>8</xdr:col>
      <xdr:colOff>508000</xdr:colOff>
      <xdr:row>0</xdr:row>
      <xdr:rowOff>87313</xdr:rowOff>
    </xdr:from>
    <xdr:to>
      <xdr:col>16</xdr:col>
      <xdr:colOff>484188</xdr:colOff>
      <xdr:row>16</xdr:row>
      <xdr:rowOff>15875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6D3514-350A-47D8-8C37-EDDE7D22A6EE}"/>
            </a:ext>
          </a:extLst>
        </xdr:cNvPr>
        <xdr:cNvSpPr txBox="1"/>
      </xdr:nvSpPr>
      <xdr:spPr>
        <a:xfrm>
          <a:off x="5397500" y="87313"/>
          <a:ext cx="4865688" cy="297656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4.POWER()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Returns a number raised to a power.</a:t>
          </a:r>
        </a:p>
        <a:p>
          <a:r>
            <a:rPr lang="en-IN" sz="1400" b="1"/>
            <a:t>Example</a:t>
          </a:r>
          <a:r>
            <a:rPr lang="en-IN" sz="1400"/>
            <a:t>: =POWER(3, 3)</a:t>
          </a:r>
        </a:p>
        <a:p>
          <a:endParaRPr lang="en-IN" sz="1600"/>
        </a:p>
        <a:p>
          <a:r>
            <a:rPr lang="en-IN" sz="1400" b="1" u="sng"/>
            <a:t>5.SQRT()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Returns the </a:t>
          </a:r>
        </a:p>
        <a:p>
          <a:r>
            <a:rPr lang="en-IN" sz="1400"/>
            <a:t>square root of a number.</a:t>
          </a:r>
        </a:p>
        <a:p>
          <a:r>
            <a:rPr lang="en-IN" sz="1400" b="1"/>
            <a:t>Example</a:t>
          </a:r>
          <a:r>
            <a:rPr lang="en-IN" sz="1400"/>
            <a:t>: =SQRT(36)</a:t>
          </a:r>
        </a:p>
        <a:p>
          <a:endParaRPr lang="en-IN" sz="1400"/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6.ABS()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absolute (positive) value of a number.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=ABS(-28750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IN" sz="1400">
            <a:effectLst/>
          </a:endParaRPr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495301</xdr:colOff>
      <xdr:row>1</xdr:row>
      <xdr:rowOff>47624</xdr:rowOff>
    </xdr:from>
    <xdr:to>
      <xdr:col>15</xdr:col>
      <xdr:colOff>9525</xdr:colOff>
      <xdr:row>17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94750-9AB6-464A-ABEC-21B99835486B}"/>
            </a:ext>
          </a:extLst>
        </xdr:cNvPr>
        <xdr:cNvSpPr txBox="1"/>
      </xdr:nvSpPr>
      <xdr:spPr>
        <a:xfrm>
          <a:off x="3543301" y="238124"/>
          <a:ext cx="5610224" cy="31146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SUMIF()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Adds the numbers in a range that meet a single condition.</a:t>
          </a:r>
        </a:p>
        <a:p>
          <a:pPr algn="l"/>
          <a:endParaRPr lang="en-IN" sz="1400"/>
        </a:p>
        <a:p>
          <a:pPr algn="ctr"/>
          <a:r>
            <a:rPr lang="en-IN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Syntax:</a:t>
          </a:r>
          <a:r>
            <a:rPr lang="en-IN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=SUMIF(range, criteria, [sum_range])</a:t>
          </a:r>
        </a:p>
        <a:p>
          <a:pPr algn="ctr"/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/>
            <a:t>Range:</a:t>
          </a:r>
          <a:r>
            <a:rPr lang="en-IN" sz="1400"/>
            <a:t>The group of cells that you want to apply the condition (criteria) to.</a:t>
          </a:r>
        </a:p>
        <a:p>
          <a:r>
            <a:rPr lang="en-IN" sz="1400" b="1"/>
            <a:t>Criteria:</a:t>
          </a:r>
          <a:r>
            <a:rPr lang="en-IN" sz="1400"/>
            <a:t>The condition used to determine which cells to include in the sum.</a:t>
          </a:r>
        </a:p>
        <a:p>
          <a:r>
            <a:rPr lang="en-IN" sz="1400" b="1"/>
            <a:t>Sum Range </a:t>
          </a:r>
          <a:r>
            <a:rPr lang="en-IN" sz="1400" b="1" i="1"/>
            <a:t>(optional but commonly used)</a:t>
          </a:r>
          <a:r>
            <a:rPr lang="en-IN" sz="1400" b="1"/>
            <a:t>:</a:t>
          </a:r>
          <a:r>
            <a:rPr lang="en-IN" sz="1400"/>
            <a:t> The actual cells whose values you want to add </a:t>
          </a:r>
          <a:r>
            <a:rPr lang="en-IN" sz="1400" b="1"/>
            <a:t>if the corresponding cells in the Range match the Criteria</a:t>
          </a:r>
          <a:r>
            <a:rPr lang="en-IN" sz="1400"/>
            <a:t>.</a:t>
          </a:r>
        </a:p>
        <a:p>
          <a:br>
            <a:rPr lang="en-IN" sz="1400"/>
          </a:br>
          <a:r>
            <a:rPr lang="en-IN" sz="1400" b="1"/>
            <a:t>Example:</a:t>
          </a:r>
          <a:r>
            <a:rPr lang="en-IN" sz="1400"/>
            <a:t> =SUMIF(A1:A5,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Adds all values in A1:A5 that are greater than 10.</a:t>
          </a:r>
        </a:p>
        <a:p>
          <a:endParaRPr lang="en-IN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95250</xdr:rowOff>
    </xdr:from>
    <xdr:to>
      <xdr:col>14</xdr:col>
      <xdr:colOff>123824</xdr:colOff>
      <xdr:row>17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B21008-6B48-40FE-85A2-AF8466A42CB9}"/>
            </a:ext>
          </a:extLst>
        </xdr:cNvPr>
        <xdr:cNvSpPr txBox="1"/>
      </xdr:nvSpPr>
      <xdr:spPr>
        <a:xfrm>
          <a:off x="3048000" y="285750"/>
          <a:ext cx="5610224" cy="31146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SUMIFS()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Adds numbers in a range that meet </a:t>
          </a:r>
          <a:r>
            <a:rPr lang="en-IN" sz="1400" b="1"/>
            <a:t>multiple conditions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=SUMIFS(sum_range, criteria_range1, criteria1, [criteria_range2, criteria2], ...)</a:t>
          </a:r>
        </a:p>
        <a:p>
          <a:r>
            <a:rPr lang="en-IN" sz="1400" b="1"/>
            <a:t>Sum Range:</a:t>
          </a:r>
          <a:r>
            <a:rPr lang="en-IN" sz="1400"/>
            <a:t> The actual cells to add.</a:t>
          </a:r>
        </a:p>
        <a:p>
          <a:r>
            <a:rPr lang="en-IN" sz="1400" b="1"/>
            <a:t>Criteria Range1:</a:t>
          </a:r>
          <a:r>
            <a:rPr lang="en-IN" sz="1400"/>
            <a:t> The first range to evaluate.</a:t>
          </a:r>
        </a:p>
        <a:p>
          <a:r>
            <a:rPr lang="en-IN" sz="1400" b="1"/>
            <a:t>Criteria1:</a:t>
          </a:r>
          <a:r>
            <a:rPr lang="en-IN" sz="1400"/>
            <a:t> The condition for criteria_range1.</a:t>
          </a:r>
        </a:p>
        <a:p>
          <a:r>
            <a:rPr lang="en-IN" sz="1400" i="1"/>
            <a:t>(You can add more criteria ranges and conditions as needed.)</a:t>
          </a:r>
          <a:endParaRPr lang="en-IN" sz="1400"/>
        </a:p>
        <a:p>
          <a:r>
            <a:rPr lang="en-IN" sz="1400" b="1"/>
            <a:t>Example:</a:t>
          </a:r>
          <a:r>
            <a:rPr lang="en-IN" sz="1400"/>
            <a:t> =SUMIFS(B2:B6, A2:A6, "Fruits", C2:C6,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Adds values in B2:B6 where A2:A6 equals "Fruits" </a:t>
          </a:r>
          <a:r>
            <a:rPr lang="en-IN" sz="1400" b="1"/>
            <a:t>and</a:t>
          </a:r>
          <a:r>
            <a:rPr lang="en-IN" sz="1400"/>
            <a:t> C2:C6 is greater than 10.</a:t>
          </a:r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3</xdr:row>
      <xdr:rowOff>0</xdr:rowOff>
    </xdr:from>
    <xdr:to>
      <xdr:col>14</xdr:col>
      <xdr:colOff>333375</xdr:colOff>
      <xdr:row>17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24F385-E518-41FD-AC99-275C70B093A1}"/>
            </a:ext>
          </a:extLst>
        </xdr:cNvPr>
        <xdr:cNvSpPr txBox="1"/>
      </xdr:nvSpPr>
      <xdr:spPr>
        <a:xfrm>
          <a:off x="3514725" y="571500"/>
          <a:ext cx="5353050" cy="2800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COUNTIF()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Counts the number of cells in a range that meet a </a:t>
          </a:r>
          <a:r>
            <a:rPr lang="en-IN" sz="1400" b="1"/>
            <a:t>single condition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=COUNTIF(range, criteria)</a:t>
          </a:r>
        </a:p>
        <a:p>
          <a:r>
            <a:rPr lang="en-IN" sz="1400" b="1"/>
            <a:t>Range:</a:t>
          </a:r>
          <a:r>
            <a:rPr lang="en-IN" sz="1400"/>
            <a:t> The cells to apply the condition to.</a:t>
          </a:r>
        </a:p>
        <a:p>
          <a:r>
            <a:rPr lang="en-IN" sz="1400" b="1"/>
            <a:t>Criteria:</a:t>
          </a:r>
          <a:r>
            <a:rPr lang="en-IN" sz="1400"/>
            <a:t> The condition to match.</a:t>
          </a:r>
        </a:p>
        <a:p>
          <a:endParaRPr lang="en-IN" sz="1400"/>
        </a:p>
        <a:p>
          <a:r>
            <a:rPr lang="en-IN" sz="1400" b="1"/>
            <a:t>Example:</a:t>
          </a:r>
          <a:r>
            <a:rPr lang="en-IN" sz="1400"/>
            <a:t> =COUNTIF(A1:A5, "Apple")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Counts how many times "Apple" appears in A1:A5.</a:t>
          </a:r>
        </a:p>
        <a:p>
          <a:endParaRPr lang="en-IN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</xdr:row>
      <xdr:rowOff>9525</xdr:rowOff>
    </xdr:from>
    <xdr:to>
      <xdr:col>14</xdr:col>
      <xdr:colOff>114300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D8933E-6100-4D47-B0F2-70D81692809D}"/>
            </a:ext>
          </a:extLst>
        </xdr:cNvPr>
        <xdr:cNvSpPr txBox="1"/>
      </xdr:nvSpPr>
      <xdr:spPr>
        <a:xfrm>
          <a:off x="3295650" y="200025"/>
          <a:ext cx="5353050" cy="2800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COUNTIFS()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Counts the number of cells that meet </a:t>
          </a:r>
          <a:r>
            <a:rPr lang="en-IN" sz="1400" b="1"/>
            <a:t>multiple conditions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=COUNTIFS(criteria_range1, criteria1, [criteria_range2, criteria2], ...)</a:t>
          </a:r>
        </a:p>
        <a:p>
          <a:pPr algn="ctr"/>
          <a:endParaRPr lang="en-IN" sz="1400">
            <a:solidFill>
              <a:srgbClr val="FF0000"/>
            </a:solidFill>
          </a:endParaRPr>
        </a:p>
        <a:p>
          <a:r>
            <a:rPr lang="en-IN" sz="1400" b="1"/>
            <a:t>Criteria Range1:</a:t>
          </a:r>
          <a:r>
            <a:rPr lang="en-IN" sz="1400"/>
            <a:t> The first group of cells to check.</a:t>
          </a:r>
        </a:p>
        <a:p>
          <a:r>
            <a:rPr lang="en-IN" sz="1400" b="1"/>
            <a:t>Criteria1:</a:t>
          </a:r>
          <a:r>
            <a:rPr lang="en-IN" sz="1400"/>
            <a:t> The first condition.</a:t>
          </a:r>
        </a:p>
        <a:p>
          <a:r>
            <a:rPr lang="en-IN" sz="1400" i="1"/>
            <a:t>(You can add more ranges and criteria.)</a:t>
          </a:r>
        </a:p>
        <a:p>
          <a:endParaRPr lang="en-IN" sz="1400"/>
        </a:p>
        <a:p>
          <a:r>
            <a:rPr lang="en-IN" sz="1400" b="1"/>
            <a:t>Example:</a:t>
          </a:r>
          <a:r>
            <a:rPr lang="en-IN" sz="1400"/>
            <a:t> =COUNTIFS(A2:A6, "Fruits", B2:B6,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Counts how many rows have "Fruits" in A2:A6 and values &gt;10 in B2:B6.</a:t>
          </a:r>
        </a:p>
        <a:p>
          <a:endParaRPr lang="en-IN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54D7-8754-4D26-ADE1-AA0E3F5B2B19}">
  <dimension ref="A1"/>
  <sheetViews>
    <sheetView showGridLines="0" workbookViewId="0">
      <selection activeCell="S7" sqref="S7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zoomScale="120" zoomScaleNormal="120" workbookViewId="0">
      <selection activeCell="L8" sqref="L8"/>
    </sheetView>
  </sheetViews>
  <sheetFormatPr defaultColWidth="9.109375" defaultRowHeight="14.4"/>
  <cols>
    <col min="1" max="16384" width="9.109375" style="3"/>
  </cols>
  <sheetData>
    <row r="1" spans="1:11" s="62" customFormat="1" ht="29.1" customHeight="1">
      <c r="A1" s="62" t="s">
        <v>0</v>
      </c>
    </row>
    <row r="2" spans="1:11" ht="18.899999999999999" customHeight="1"/>
    <row r="3" spans="1:11" ht="14.1" customHeight="1"/>
    <row r="4" spans="1:11" ht="27.9" customHeight="1">
      <c r="F4" s="4"/>
      <c r="G4" s="5" t="s">
        <v>1</v>
      </c>
      <c r="H4" s="6"/>
      <c r="I4" s="6"/>
      <c r="J4" s="6"/>
      <c r="K4" s="7"/>
    </row>
    <row r="5" spans="1:11" ht="18">
      <c r="F5" s="8"/>
      <c r="G5" s="9" t="s">
        <v>2</v>
      </c>
      <c r="H5" s="10"/>
      <c r="I5" s="10"/>
      <c r="J5" s="10"/>
      <c r="K5" s="11"/>
    </row>
    <row r="6" spans="1:11" ht="23.1" customHeight="1">
      <c r="F6" s="8"/>
      <c r="G6" s="9" t="s">
        <v>3</v>
      </c>
      <c r="H6" s="10"/>
      <c r="I6" s="10"/>
      <c r="J6" s="10"/>
      <c r="K6" s="11"/>
    </row>
    <row r="7" spans="1:11" ht="24.9" customHeight="1">
      <c r="F7" s="8"/>
      <c r="G7" s="9" t="s">
        <v>4</v>
      </c>
      <c r="H7" s="10"/>
      <c r="I7" s="10"/>
      <c r="J7" s="10"/>
      <c r="K7" s="11"/>
    </row>
    <row r="8" spans="1:11" ht="26.1" customHeight="1">
      <c r="F8" s="8"/>
      <c r="G8" s="9" t="s">
        <v>5</v>
      </c>
      <c r="H8" s="10"/>
      <c r="I8" s="10"/>
      <c r="J8" s="10"/>
      <c r="K8" s="11"/>
    </row>
    <row r="9" spans="1:11" ht="18">
      <c r="F9" s="12"/>
      <c r="G9" s="13"/>
      <c r="H9" s="13"/>
      <c r="I9" s="13"/>
      <c r="J9" s="13"/>
      <c r="K9" s="14"/>
    </row>
    <row r="10" spans="1:11" ht="32.1" customHeight="1"/>
  </sheetData>
  <mergeCells count="1">
    <mergeCell ref="A1:XF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"/>
  <sheetViews>
    <sheetView showGridLines="0" topLeftCell="A4" zoomScale="120" zoomScaleNormal="120" workbookViewId="0">
      <selection activeCell="M14" sqref="M14"/>
    </sheetView>
  </sheetViews>
  <sheetFormatPr defaultColWidth="9.109375" defaultRowHeight="14.4"/>
  <cols>
    <col min="1" max="7" width="9.109375" style="3"/>
    <col min="8" max="8" width="11.88671875" style="3" customWidth="1"/>
    <col min="9" max="16384" width="9.109375" style="3"/>
  </cols>
  <sheetData>
    <row r="1" spans="1:12" s="62" customFormat="1" ht="25.8">
      <c r="A1" s="63" t="s">
        <v>9</v>
      </c>
    </row>
    <row r="3" spans="1:12" ht="18"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2" ht="18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8">
      <c r="B5" s="15"/>
      <c r="D5" s="16"/>
      <c r="E5" s="17" t="s">
        <v>6</v>
      </c>
      <c r="F5" s="17"/>
      <c r="G5" s="17" t="s">
        <v>42</v>
      </c>
      <c r="H5" s="17"/>
      <c r="I5" s="36" t="s">
        <v>74</v>
      </c>
      <c r="J5" s="17"/>
      <c r="K5" s="17" t="s">
        <v>45</v>
      </c>
      <c r="L5" s="17"/>
    </row>
    <row r="6" spans="1:12" ht="18">
      <c r="B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8">
      <c r="B7" s="15"/>
      <c r="D7" s="16"/>
      <c r="E7" s="17" t="s">
        <v>7</v>
      </c>
      <c r="F7" s="17"/>
      <c r="G7" s="17" t="s">
        <v>43</v>
      </c>
      <c r="H7" s="17"/>
      <c r="I7" s="36" t="s">
        <v>75</v>
      </c>
      <c r="J7" s="17"/>
      <c r="K7" s="17" t="s">
        <v>46</v>
      </c>
      <c r="L7" s="17"/>
    </row>
    <row r="8" spans="1:12" ht="18">
      <c r="B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8">
      <c r="B9" s="15"/>
      <c r="D9" s="16"/>
      <c r="E9" s="17" t="s">
        <v>8</v>
      </c>
      <c r="F9" s="17"/>
      <c r="G9" s="17" t="s">
        <v>44</v>
      </c>
      <c r="H9" s="34"/>
      <c r="I9" s="36" t="s">
        <v>76</v>
      </c>
      <c r="J9" s="17"/>
      <c r="K9" s="36" t="s">
        <v>78</v>
      </c>
      <c r="L9" s="17"/>
    </row>
    <row r="10" spans="1:12" ht="18">
      <c r="B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8">
      <c r="B11" s="15"/>
      <c r="D11" s="16"/>
      <c r="E11" s="36" t="s">
        <v>72</v>
      </c>
      <c r="F11" s="17"/>
      <c r="G11" s="36" t="s">
        <v>73</v>
      </c>
      <c r="H11" s="34"/>
      <c r="I11" s="36" t="s">
        <v>77</v>
      </c>
      <c r="J11" s="17"/>
      <c r="K11" s="36" t="s">
        <v>79</v>
      </c>
      <c r="L11" s="17"/>
    </row>
    <row r="12" spans="1:12" ht="18">
      <c r="B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8">
      <c r="B13" s="15"/>
    </row>
  </sheetData>
  <mergeCells count="1">
    <mergeCell ref="A1:XFD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C239-CD64-4E49-89DD-CD98235F26D9}">
  <sheetPr codeName="Sheet3"/>
  <dimension ref="A1"/>
  <sheetViews>
    <sheetView showGridLines="0" zoomScale="120" zoomScaleNormal="120" workbookViewId="0">
      <selection activeCell="I38" sqref="I38"/>
    </sheetView>
  </sheetViews>
  <sheetFormatPr defaultColWidth="9.109375" defaultRowHeight="14.4"/>
  <cols>
    <col min="1" max="16384" width="9.109375" style="3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9"/>
  <sheetViews>
    <sheetView zoomScaleNormal="120" workbookViewId="0">
      <selection activeCell="E19" sqref="E19:G19"/>
    </sheetView>
  </sheetViews>
  <sheetFormatPr defaultColWidth="9.109375" defaultRowHeight="14.4"/>
  <cols>
    <col min="1" max="8" width="9.109375" style="19"/>
    <col min="9" max="9" width="10.109375" style="19" bestFit="1" customWidth="1"/>
    <col min="10" max="10" width="9.109375" style="19"/>
    <col min="11" max="11" width="11" style="19" bestFit="1" customWidth="1"/>
    <col min="12" max="12" width="15.109375" style="19" bestFit="1" customWidth="1"/>
    <col min="13" max="16384" width="9.109375" style="19"/>
  </cols>
  <sheetData>
    <row r="1" spans="1:12" s="73" customFormat="1" ht="21">
      <c r="A1" s="70" t="s">
        <v>41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3" spans="1:12" ht="15.6">
      <c r="B3" s="20" t="s">
        <v>10</v>
      </c>
      <c r="C3" s="21" t="s">
        <v>11</v>
      </c>
      <c r="D3" s="22" t="s">
        <v>12</v>
      </c>
      <c r="E3" s="20" t="s">
        <v>13</v>
      </c>
      <c r="F3" s="21" t="s">
        <v>14</v>
      </c>
      <c r="G3" s="21" t="s">
        <v>15</v>
      </c>
      <c r="H3" s="21" t="s">
        <v>16</v>
      </c>
      <c r="I3" s="21" t="s">
        <v>17</v>
      </c>
      <c r="J3" s="21" t="s">
        <v>18</v>
      </c>
      <c r="K3" s="21" t="s">
        <v>100</v>
      </c>
      <c r="L3" s="21" t="s">
        <v>101</v>
      </c>
    </row>
    <row r="4" spans="1:12">
      <c r="B4" s="23">
        <v>1</v>
      </c>
      <c r="C4" s="23" t="s">
        <v>19</v>
      </c>
      <c r="D4" s="24" t="s">
        <v>20</v>
      </c>
      <c r="E4" s="23">
        <v>56</v>
      </c>
      <c r="F4" s="23">
        <v>87</v>
      </c>
      <c r="G4" s="23">
        <v>35</v>
      </c>
      <c r="H4" s="18">
        <f>SUM(E4,F4,G4)</f>
        <v>178</v>
      </c>
      <c r="I4" s="18">
        <f>AVERAGE('SUM,AVERAGE,ROUND,MAX,MIN'!E4,'SUM,AVERAGE,ROUND,MAX,MIN'!F4,'SUM,AVERAGE,ROUND,MAX,MIN'!G4)</f>
        <v>59.333333333333336</v>
      </c>
      <c r="J4" s="18">
        <f>ROUND(I4,2)</f>
        <v>59.33</v>
      </c>
      <c r="K4" s="18">
        <f>ROUNDUP(I4,1)</f>
        <v>59.4</v>
      </c>
      <c r="L4" s="19">
        <f>ROUNDDOWN(I4,1)</f>
        <v>59.3</v>
      </c>
    </row>
    <row r="5" spans="1:12">
      <c r="B5" s="23">
        <v>2</v>
      </c>
      <c r="C5" s="23" t="s">
        <v>21</v>
      </c>
      <c r="D5" s="24" t="s">
        <v>22</v>
      </c>
      <c r="E5" s="23">
        <v>98</v>
      </c>
      <c r="F5" s="23">
        <v>98</v>
      </c>
      <c r="G5" s="23">
        <v>68</v>
      </c>
      <c r="H5" s="18">
        <f t="shared" ref="H5:H13" si="0">SUM(E5,F5,G5)</f>
        <v>264</v>
      </c>
      <c r="I5" s="18">
        <f>AVERAGE('SUM,AVERAGE,ROUND,MAX,MIN'!E5,'SUM,AVERAGE,ROUND,MAX,MIN'!F5,'SUM,AVERAGE,ROUND,MAX,MIN'!G5)</f>
        <v>88</v>
      </c>
      <c r="J5" s="18">
        <f t="shared" ref="J5:J13" si="1">ROUND(I5,2)</f>
        <v>88</v>
      </c>
      <c r="K5" s="18">
        <f t="shared" ref="K5:K13" si="2">ROUNDUP(I5,1)</f>
        <v>88</v>
      </c>
      <c r="L5" s="19">
        <f t="shared" ref="L5:L13" si="3">ROUNDDOWN(I5,1)</f>
        <v>88</v>
      </c>
    </row>
    <row r="6" spans="1:12">
      <c r="B6" s="23">
        <v>3</v>
      </c>
      <c r="C6" s="23" t="s">
        <v>23</v>
      </c>
      <c r="D6" s="24" t="s">
        <v>24</v>
      </c>
      <c r="E6" s="23">
        <v>68</v>
      </c>
      <c r="F6" s="23">
        <v>67</v>
      </c>
      <c r="G6" s="23">
        <v>97</v>
      </c>
      <c r="H6" s="18">
        <f t="shared" si="0"/>
        <v>232</v>
      </c>
      <c r="I6" s="18">
        <f>AVERAGE('SUM,AVERAGE,ROUND,MAX,MIN'!E6,'SUM,AVERAGE,ROUND,MAX,MIN'!F6,'SUM,AVERAGE,ROUND,MAX,MIN'!G6)</f>
        <v>77.333333333333329</v>
      </c>
      <c r="J6" s="18">
        <f t="shared" si="1"/>
        <v>77.33</v>
      </c>
      <c r="K6" s="18">
        <f t="shared" si="2"/>
        <v>77.399999999999991</v>
      </c>
      <c r="L6" s="19">
        <f t="shared" si="3"/>
        <v>77.3</v>
      </c>
    </row>
    <row r="7" spans="1:12">
      <c r="B7" s="23">
        <v>4</v>
      </c>
      <c r="C7" s="23" t="s">
        <v>25</v>
      </c>
      <c r="D7" s="24" t="s">
        <v>26</v>
      </c>
      <c r="E7" s="23">
        <v>57</v>
      </c>
      <c r="F7" s="23">
        <v>87</v>
      </c>
      <c r="G7" s="23">
        <v>58</v>
      </c>
      <c r="H7" s="18">
        <f t="shared" si="0"/>
        <v>202</v>
      </c>
      <c r="I7" s="18">
        <f>AVERAGE('SUM,AVERAGE,ROUND,MAX,MIN'!E7,'SUM,AVERAGE,ROUND,MAX,MIN'!F7,'SUM,AVERAGE,ROUND,MAX,MIN'!G7)</f>
        <v>67.333333333333329</v>
      </c>
      <c r="J7" s="18">
        <f t="shared" si="1"/>
        <v>67.33</v>
      </c>
      <c r="K7" s="18">
        <f t="shared" si="2"/>
        <v>67.399999999999991</v>
      </c>
      <c r="L7" s="19">
        <f t="shared" si="3"/>
        <v>67.3</v>
      </c>
    </row>
    <row r="8" spans="1:12">
      <c r="B8" s="23">
        <v>5</v>
      </c>
      <c r="C8" s="23" t="s">
        <v>27</v>
      </c>
      <c r="D8" s="24" t="s">
        <v>28</v>
      </c>
      <c r="E8" s="23">
        <v>54</v>
      </c>
      <c r="F8" s="23">
        <v>47</v>
      </c>
      <c r="G8" s="23">
        <v>87</v>
      </c>
      <c r="H8" s="18">
        <f t="shared" si="0"/>
        <v>188</v>
      </c>
      <c r="I8" s="18">
        <f>AVERAGE('SUM,AVERAGE,ROUND,MAX,MIN'!E8,'SUM,AVERAGE,ROUND,MAX,MIN'!F8,'SUM,AVERAGE,ROUND,MAX,MIN'!G8)</f>
        <v>62.666666666666664</v>
      </c>
      <c r="J8" s="18">
        <f t="shared" si="1"/>
        <v>62.67</v>
      </c>
      <c r="K8" s="18">
        <f t="shared" si="2"/>
        <v>62.7</v>
      </c>
      <c r="L8" s="19">
        <f t="shared" si="3"/>
        <v>62.6</v>
      </c>
    </row>
    <row r="9" spans="1:12">
      <c r="B9" s="23">
        <v>6</v>
      </c>
      <c r="C9" s="23" t="s">
        <v>29</v>
      </c>
      <c r="D9" s="24" t="s">
        <v>30</v>
      </c>
      <c r="E9" s="23">
        <v>24</v>
      </c>
      <c r="F9" s="23">
        <v>52</v>
      </c>
      <c r="G9" s="23">
        <v>45</v>
      </c>
      <c r="H9" s="18">
        <f t="shared" si="0"/>
        <v>121</v>
      </c>
      <c r="I9" s="18">
        <f>AVERAGE('SUM,AVERAGE,ROUND,MAX,MIN'!E9,'SUM,AVERAGE,ROUND,MAX,MIN'!F9,'SUM,AVERAGE,ROUND,MAX,MIN'!G9)</f>
        <v>40.333333333333336</v>
      </c>
      <c r="J9" s="18">
        <f t="shared" si="1"/>
        <v>40.33</v>
      </c>
      <c r="K9" s="18">
        <f t="shared" si="2"/>
        <v>40.4</v>
      </c>
      <c r="L9" s="19">
        <f t="shared" si="3"/>
        <v>40.299999999999997</v>
      </c>
    </row>
    <row r="10" spans="1:12">
      <c r="B10" s="23">
        <v>7</v>
      </c>
      <c r="C10" s="23" t="s">
        <v>31</v>
      </c>
      <c r="D10" s="24" t="s">
        <v>32</v>
      </c>
      <c r="E10" s="23">
        <v>65</v>
      </c>
      <c r="F10" s="23">
        <v>25</v>
      </c>
      <c r="G10" s="23">
        <v>61</v>
      </c>
      <c r="H10" s="18">
        <f t="shared" si="0"/>
        <v>151</v>
      </c>
      <c r="I10" s="18">
        <f>AVERAGE('SUM,AVERAGE,ROUND,MAX,MIN'!E10,'SUM,AVERAGE,ROUND,MAX,MIN'!F10,'SUM,AVERAGE,ROUND,MAX,MIN'!G10)</f>
        <v>50.333333333333336</v>
      </c>
      <c r="J10" s="18">
        <f t="shared" si="1"/>
        <v>50.33</v>
      </c>
      <c r="K10" s="18">
        <f t="shared" si="2"/>
        <v>50.4</v>
      </c>
      <c r="L10" s="19">
        <f t="shared" si="3"/>
        <v>50.3</v>
      </c>
    </row>
    <row r="11" spans="1:12">
      <c r="B11" s="23">
        <v>8</v>
      </c>
      <c r="C11" s="23" t="s">
        <v>33</v>
      </c>
      <c r="D11" s="24" t="s">
        <v>34</v>
      </c>
      <c r="E11" s="23">
        <v>54</v>
      </c>
      <c r="F11" s="23">
        <v>27</v>
      </c>
      <c r="G11" s="23">
        <v>91</v>
      </c>
      <c r="H11" s="18">
        <f t="shared" si="0"/>
        <v>172</v>
      </c>
      <c r="I11" s="18">
        <f>AVERAGE('SUM,AVERAGE,ROUND,MAX,MIN'!E11,'SUM,AVERAGE,ROUND,MAX,MIN'!F11,'SUM,AVERAGE,ROUND,MAX,MIN'!G11)</f>
        <v>57.333333333333336</v>
      </c>
      <c r="J11" s="18">
        <f t="shared" si="1"/>
        <v>57.33</v>
      </c>
      <c r="K11" s="18">
        <f t="shared" si="2"/>
        <v>57.4</v>
      </c>
      <c r="L11" s="19">
        <f t="shared" si="3"/>
        <v>57.3</v>
      </c>
    </row>
    <row r="12" spans="1:12">
      <c r="B12" s="23">
        <v>9</v>
      </c>
      <c r="C12" s="23" t="s">
        <v>35</v>
      </c>
      <c r="D12" s="24" t="s">
        <v>36</v>
      </c>
      <c r="E12" s="23">
        <v>32</v>
      </c>
      <c r="F12" s="23">
        <v>87</v>
      </c>
      <c r="G12" s="23">
        <v>93</v>
      </c>
      <c r="H12" s="18">
        <f t="shared" si="0"/>
        <v>212</v>
      </c>
      <c r="I12" s="18">
        <f>AVERAGE('SUM,AVERAGE,ROUND,MAX,MIN'!E12,'SUM,AVERAGE,ROUND,MAX,MIN'!F12,'SUM,AVERAGE,ROUND,MAX,MIN'!G12)</f>
        <v>70.666666666666671</v>
      </c>
      <c r="J12" s="18">
        <f t="shared" si="1"/>
        <v>70.67</v>
      </c>
      <c r="K12" s="18">
        <f t="shared" si="2"/>
        <v>70.699999999999989</v>
      </c>
      <c r="L12" s="19">
        <f t="shared" si="3"/>
        <v>70.599999999999994</v>
      </c>
    </row>
    <row r="13" spans="1:12">
      <c r="B13" s="23">
        <v>10</v>
      </c>
      <c r="C13" s="23" t="s">
        <v>37</v>
      </c>
      <c r="D13" s="24" t="s">
        <v>38</v>
      </c>
      <c r="E13" s="23">
        <v>45</v>
      </c>
      <c r="F13" s="23">
        <v>98</v>
      </c>
      <c r="G13" s="23">
        <v>92</v>
      </c>
      <c r="H13" s="18">
        <f t="shared" si="0"/>
        <v>235</v>
      </c>
      <c r="I13" s="18">
        <f>AVERAGE('SUM,AVERAGE,ROUND,MAX,MIN'!E13,'SUM,AVERAGE,ROUND,MAX,MIN'!F13,'SUM,AVERAGE,ROUND,MAX,MIN'!G13)</f>
        <v>78.333333333333329</v>
      </c>
      <c r="J13" s="18">
        <f t="shared" si="1"/>
        <v>78.33</v>
      </c>
      <c r="K13" s="18">
        <f t="shared" si="2"/>
        <v>78.399999999999991</v>
      </c>
      <c r="L13" s="19">
        <f t="shared" si="3"/>
        <v>78.3</v>
      </c>
    </row>
    <row r="14" spans="1:12">
      <c r="H14" s="18"/>
      <c r="I14" s="18"/>
      <c r="J14" s="18"/>
      <c r="K14" s="23"/>
    </row>
    <row r="15" spans="1:12">
      <c r="H15" s="18"/>
      <c r="I15" s="18"/>
      <c r="J15" s="18"/>
      <c r="K15" s="23"/>
    </row>
    <row r="16" spans="1:12">
      <c r="B16" s="64" t="s">
        <v>39</v>
      </c>
      <c r="C16" s="65"/>
      <c r="D16" s="66"/>
      <c r="E16" s="18">
        <f>MAX(E4:E13)</f>
        <v>98</v>
      </c>
      <c r="F16" s="18">
        <f>MAX(F4:F13)</f>
        <v>98</v>
      </c>
      <c r="G16" s="18">
        <f>MAX(G4:G13)</f>
        <v>97</v>
      </c>
      <c r="H16" s="18"/>
      <c r="I16" s="18"/>
      <c r="J16" s="18"/>
    </row>
    <row r="17" spans="2:10">
      <c r="B17" s="67" t="s">
        <v>40</v>
      </c>
      <c r="C17" s="68"/>
      <c r="D17" s="69"/>
      <c r="E17" s="18">
        <f>MIN(E4:E13)</f>
        <v>24</v>
      </c>
      <c r="F17" s="18">
        <f>MIN(F4:F13)</f>
        <v>25</v>
      </c>
      <c r="G17" s="18">
        <f>MIN(G4:G13)</f>
        <v>35</v>
      </c>
      <c r="H17" s="18"/>
      <c r="I17" s="18"/>
      <c r="J17" s="18"/>
    </row>
    <row r="18" spans="2:10">
      <c r="D18" s="35" t="s">
        <v>69</v>
      </c>
      <c r="E18" s="19">
        <f>LARGE(E4:E13,2)</f>
        <v>68</v>
      </c>
      <c r="F18" s="19">
        <f t="shared" ref="F18:G18" si="4">LARGE(F4:F13,2)</f>
        <v>98</v>
      </c>
      <c r="G18" s="19">
        <f t="shared" si="4"/>
        <v>93</v>
      </c>
      <c r="I18" s="18"/>
    </row>
    <row r="19" spans="2:10">
      <c r="D19" s="35" t="s">
        <v>70</v>
      </c>
      <c r="E19" s="19">
        <f>SMALL(E4:E13,2)</f>
        <v>32</v>
      </c>
      <c r="F19" s="19">
        <f t="shared" ref="F19:G19" si="5">SMALL(F4:F13,2)</f>
        <v>27</v>
      </c>
      <c r="G19" s="19">
        <f t="shared" si="5"/>
        <v>45</v>
      </c>
      <c r="I19" s="18"/>
    </row>
  </sheetData>
  <autoFilter ref="B3:H17" xr:uid="{00000000-0001-0000-0200-000000000000}"/>
  <mergeCells count="3">
    <mergeCell ref="B16:D16"/>
    <mergeCell ref="B17:D17"/>
    <mergeCell ref="A1:XFD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DB09-FC9A-4606-BB26-5193EBE7C025}">
  <dimension ref="A1:P24"/>
  <sheetViews>
    <sheetView workbookViewId="0">
      <selection activeCell="N22" sqref="N22"/>
    </sheetView>
  </sheetViews>
  <sheetFormatPr defaultColWidth="9.109375" defaultRowHeight="14.4"/>
  <cols>
    <col min="1" max="1" width="9.109375" style="33"/>
    <col min="2" max="2" width="7.33203125" style="33" bestFit="1" customWidth="1"/>
    <col min="3" max="3" width="13.33203125" style="33" bestFit="1" customWidth="1"/>
    <col min="4" max="4" width="10" style="33" bestFit="1" customWidth="1"/>
    <col min="5" max="5" width="5.88671875" style="33" bestFit="1" customWidth="1"/>
    <col min="6" max="6" width="7.6640625" style="33" bestFit="1" customWidth="1"/>
    <col min="7" max="7" width="8.33203125" style="33" bestFit="1" customWidth="1"/>
    <col min="8" max="8" width="11.5546875" style="33" bestFit="1" customWidth="1"/>
    <col min="9" max="9" width="10.6640625" style="33" bestFit="1" customWidth="1"/>
    <col min="10" max="10" width="11.109375" style="33" bestFit="1" customWidth="1"/>
    <col min="11" max="11" width="14.109375" style="33" bestFit="1" customWidth="1"/>
    <col min="12" max="12" width="10.6640625" style="33" bestFit="1" customWidth="1"/>
    <col min="13" max="13" width="9.109375" style="33"/>
    <col min="14" max="14" width="10.6640625" style="33" bestFit="1" customWidth="1"/>
    <col min="15" max="15" width="9.109375" style="33"/>
    <col min="16" max="16" width="10.44140625" style="33" bestFit="1" customWidth="1"/>
    <col min="17" max="16384" width="9.109375" style="33"/>
  </cols>
  <sheetData>
    <row r="1" spans="1:16" ht="21">
      <c r="C1" s="39" t="s">
        <v>186</v>
      </c>
    </row>
    <row r="3" spans="1:16">
      <c r="B3" s="40" t="s">
        <v>80</v>
      </c>
      <c r="C3" s="40" t="s">
        <v>81</v>
      </c>
      <c r="D3" s="40" t="s">
        <v>82</v>
      </c>
      <c r="E3" s="40" t="s">
        <v>83</v>
      </c>
      <c r="F3" s="40" t="s">
        <v>84</v>
      </c>
      <c r="G3" s="40" t="s">
        <v>85</v>
      </c>
      <c r="H3" s="40" t="s">
        <v>86</v>
      </c>
      <c r="I3" s="40" t="s">
        <v>87</v>
      </c>
      <c r="J3" s="40" t="s">
        <v>88</v>
      </c>
      <c r="K3" s="40" t="s">
        <v>334</v>
      </c>
      <c r="L3" s="40" t="s">
        <v>89</v>
      </c>
    </row>
    <row r="4" spans="1:16">
      <c r="B4" s="41" t="s">
        <v>90</v>
      </c>
      <c r="C4" s="41">
        <v>711</v>
      </c>
      <c r="D4" s="41">
        <v>7.07</v>
      </c>
      <c r="E4" s="41">
        <v>273</v>
      </c>
      <c r="F4" s="41">
        <v>1352</v>
      </c>
      <c r="G4" s="41">
        <v>28675</v>
      </c>
      <c r="H4" s="41">
        <v>1.5</v>
      </c>
      <c r="I4" s="42">
        <v>5026.7700000000004</v>
      </c>
      <c r="J4" s="42">
        <v>430.12</v>
      </c>
      <c r="K4" s="42">
        <v>7081.9</v>
      </c>
      <c r="L4" s="42">
        <v>9.9600000000000009</v>
      </c>
    </row>
    <row r="5" spans="1:16">
      <c r="B5" s="41" t="s">
        <v>91</v>
      </c>
      <c r="C5" s="41">
        <v>316</v>
      </c>
      <c r="D5" s="41">
        <v>7.1</v>
      </c>
      <c r="E5" s="41">
        <v>823</v>
      </c>
      <c r="F5" s="41">
        <v>1940</v>
      </c>
      <c r="G5" s="41">
        <v>47653</v>
      </c>
      <c r="H5" s="41">
        <v>1.5</v>
      </c>
      <c r="I5" s="42">
        <v>2243.6</v>
      </c>
      <c r="J5" s="42">
        <v>714.8</v>
      </c>
      <c r="K5" s="42">
        <v>5721.4</v>
      </c>
      <c r="L5" s="42">
        <v>18.11</v>
      </c>
    </row>
    <row r="6" spans="1:16">
      <c r="B6" s="41" t="s">
        <v>92</v>
      </c>
      <c r="C6" s="41">
        <v>841</v>
      </c>
      <c r="D6" s="41">
        <v>5.64</v>
      </c>
      <c r="E6" s="41">
        <v>850</v>
      </c>
      <c r="F6" s="41">
        <v>1249</v>
      </c>
      <c r="G6" s="41">
        <v>139686</v>
      </c>
      <c r="H6" s="41">
        <v>2</v>
      </c>
      <c r="I6" s="42">
        <v>4743.24</v>
      </c>
      <c r="J6" s="42">
        <v>2793.72</v>
      </c>
      <c r="K6" s="42">
        <v>9635.9599999999991</v>
      </c>
      <c r="L6" s="42">
        <v>11.46</v>
      </c>
    </row>
    <row r="7" spans="1:16">
      <c r="B7" s="41" t="s">
        <v>93</v>
      </c>
      <c r="C7" s="41">
        <v>191</v>
      </c>
      <c r="D7" s="41">
        <v>5.86</v>
      </c>
      <c r="E7" s="41">
        <v>375</v>
      </c>
      <c r="F7" s="41">
        <v>1464</v>
      </c>
      <c r="G7" s="41">
        <v>143589</v>
      </c>
      <c r="H7" s="41">
        <v>1.5</v>
      </c>
      <c r="I7" s="42">
        <v>1119.26</v>
      </c>
      <c r="J7" s="42">
        <v>2153.84</v>
      </c>
      <c r="K7" s="42">
        <v>5112.1000000000004</v>
      </c>
      <c r="L7" s="42">
        <v>26.76</v>
      </c>
    </row>
    <row r="8" spans="1:16">
      <c r="B8" s="41" t="s">
        <v>94</v>
      </c>
      <c r="C8" s="41">
        <v>166</v>
      </c>
      <c r="D8" s="41">
        <v>7</v>
      </c>
      <c r="E8" s="41">
        <v>746</v>
      </c>
      <c r="F8" s="41">
        <v>914</v>
      </c>
      <c r="G8" s="41">
        <v>94341</v>
      </c>
      <c r="H8" s="41">
        <v>1</v>
      </c>
      <c r="I8" s="42">
        <v>1162</v>
      </c>
      <c r="J8" s="42">
        <v>943.41</v>
      </c>
      <c r="K8" s="42">
        <v>3765.41</v>
      </c>
      <c r="L8" s="42">
        <v>22.68</v>
      </c>
    </row>
    <row r="9" spans="1:16">
      <c r="B9" s="41" t="s">
        <v>95</v>
      </c>
      <c r="C9" s="41">
        <v>797</v>
      </c>
      <c r="D9" s="41">
        <v>4.99</v>
      </c>
      <c r="E9" s="41">
        <v>946</v>
      </c>
      <c r="F9" s="41">
        <v>1269</v>
      </c>
      <c r="G9" s="41">
        <v>134867</v>
      </c>
      <c r="H9" s="41">
        <v>1.5</v>
      </c>
      <c r="I9" s="42">
        <v>3977.03</v>
      </c>
      <c r="J9" s="42">
        <v>2023</v>
      </c>
      <c r="K9" s="42">
        <v>8215.0400000000009</v>
      </c>
      <c r="L9" s="42">
        <v>10.31</v>
      </c>
    </row>
    <row r="10" spans="1:16">
      <c r="B10" s="41" t="s">
        <v>96</v>
      </c>
      <c r="C10" s="41">
        <v>353</v>
      </c>
      <c r="D10" s="41">
        <v>5.57</v>
      </c>
      <c r="E10" s="41">
        <v>450</v>
      </c>
      <c r="F10" s="41">
        <v>865</v>
      </c>
      <c r="G10" s="41">
        <v>114098</v>
      </c>
      <c r="H10" s="41">
        <v>1</v>
      </c>
      <c r="I10" s="42">
        <v>1966.21</v>
      </c>
      <c r="J10" s="42">
        <v>1140.98</v>
      </c>
      <c r="K10" s="42">
        <v>4422.1899999999996</v>
      </c>
      <c r="L10" s="42">
        <v>12.53</v>
      </c>
    </row>
    <row r="11" spans="1:16">
      <c r="B11" s="41" t="s">
        <v>97</v>
      </c>
      <c r="C11" s="41">
        <v>911</v>
      </c>
      <c r="D11" s="41">
        <v>6.51</v>
      </c>
      <c r="E11" s="41">
        <v>367</v>
      </c>
      <c r="F11" s="41">
        <v>1446</v>
      </c>
      <c r="G11" s="41">
        <v>61245</v>
      </c>
      <c r="H11" s="41">
        <v>1</v>
      </c>
      <c r="I11" s="42">
        <v>5930.61</v>
      </c>
      <c r="J11" s="42">
        <v>612.45000000000005</v>
      </c>
      <c r="K11" s="42">
        <v>8356.06</v>
      </c>
      <c r="L11" s="42">
        <v>9.17</v>
      </c>
    </row>
    <row r="12" spans="1:16">
      <c r="B12" s="41" t="s">
        <v>98</v>
      </c>
      <c r="C12" s="41">
        <v>416</v>
      </c>
      <c r="D12" s="41">
        <v>6.61</v>
      </c>
      <c r="E12" s="41">
        <v>673</v>
      </c>
      <c r="F12" s="41">
        <v>1621</v>
      </c>
      <c r="G12" s="41">
        <v>47869</v>
      </c>
      <c r="H12" s="41">
        <v>2</v>
      </c>
      <c r="I12" s="42">
        <v>2749.76</v>
      </c>
      <c r="J12" s="42">
        <v>957.38</v>
      </c>
      <c r="K12" s="42">
        <v>6001.14</v>
      </c>
      <c r="L12" s="42">
        <v>14.43</v>
      </c>
    </row>
    <row r="13" spans="1:16">
      <c r="B13" s="41" t="s">
        <v>99</v>
      </c>
      <c r="C13" s="41">
        <v>201</v>
      </c>
      <c r="D13" s="41">
        <v>6.55</v>
      </c>
      <c r="E13" s="41">
        <v>588</v>
      </c>
      <c r="F13" s="41">
        <v>1348</v>
      </c>
      <c r="G13" s="41">
        <v>105909</v>
      </c>
      <c r="H13" s="41">
        <v>2</v>
      </c>
      <c r="I13" s="42">
        <v>1316.55</v>
      </c>
      <c r="J13" s="42">
        <v>2118.1799999999998</v>
      </c>
      <c r="K13" s="42">
        <v>5370.73</v>
      </c>
      <c r="L13" s="42">
        <v>26.72</v>
      </c>
    </row>
    <row r="14" spans="1:16">
      <c r="N14" s="57">
        <f>SUM(K4:K13)</f>
        <v>63681.929999999993</v>
      </c>
    </row>
    <row r="15" spans="1:16" ht="18.75" customHeight="1">
      <c r="A15" s="33">
        <v>1</v>
      </c>
      <c r="B15" s="74" t="s">
        <v>109</v>
      </c>
      <c r="C15" s="74"/>
      <c r="D15" s="74"/>
      <c r="E15" s="74"/>
      <c r="F15" s="74"/>
      <c r="G15" s="74"/>
      <c r="H15" s="74"/>
      <c r="I15" s="74"/>
      <c r="J15" s="74"/>
      <c r="K15" s="59">
        <f>SUM(I4:I13)</f>
        <v>30235.030000000002</v>
      </c>
      <c r="P15" s="57">
        <f>SUM(K4:K13)</f>
        <v>63681.929999999993</v>
      </c>
    </row>
    <row r="16" spans="1:16">
      <c r="A16" s="33">
        <v>2</v>
      </c>
      <c r="B16" s="74" t="s">
        <v>110</v>
      </c>
      <c r="C16" s="75"/>
      <c r="D16" s="75"/>
      <c r="E16" s="75"/>
      <c r="F16" s="75"/>
      <c r="G16" s="75"/>
      <c r="H16" s="75"/>
      <c r="I16" s="75"/>
      <c r="J16" s="75"/>
      <c r="K16" s="59">
        <f>AVERAGE(L4:L13)</f>
        <v>16.213000000000001</v>
      </c>
    </row>
    <row r="17" spans="1:14">
      <c r="A17" s="33">
        <v>3</v>
      </c>
      <c r="B17" s="76" t="s">
        <v>333</v>
      </c>
      <c r="C17" s="75"/>
      <c r="D17" s="75"/>
      <c r="E17" s="75"/>
      <c r="F17" s="75"/>
      <c r="G17" s="75"/>
      <c r="H17" s="75"/>
      <c r="I17" s="75"/>
      <c r="J17" s="75"/>
      <c r="K17" s="58">
        <f>ROUND(P15,1)</f>
        <v>63681.9</v>
      </c>
      <c r="L17" s="57">
        <f>ROUND(SUM(K4:K13),1)</f>
        <v>63681.9</v>
      </c>
    </row>
    <row r="18" spans="1:14">
      <c r="A18" s="33">
        <v>4</v>
      </c>
      <c r="B18" s="77" t="s">
        <v>335</v>
      </c>
      <c r="C18" s="75"/>
      <c r="D18" s="75"/>
      <c r="E18" s="75"/>
      <c r="F18" s="75"/>
      <c r="G18" s="75"/>
      <c r="H18" s="75"/>
      <c r="I18" s="75"/>
      <c r="J18" s="75"/>
      <c r="K18" s="59">
        <f>ROUNDUP(N18,0)</f>
        <v>63</v>
      </c>
      <c r="N18" s="57">
        <f>SUM(D4:D13)</f>
        <v>62.9</v>
      </c>
    </row>
    <row r="19" spans="1:14">
      <c r="A19" s="33">
        <v>5</v>
      </c>
      <c r="B19" s="78" t="s">
        <v>111</v>
      </c>
      <c r="C19" s="75"/>
      <c r="D19" s="75"/>
      <c r="E19" s="75"/>
      <c r="F19" s="75"/>
      <c r="G19" s="75"/>
      <c r="H19" s="75"/>
      <c r="I19" s="75"/>
      <c r="J19" s="75"/>
      <c r="K19" s="43">
        <f>MIN(C4:C13)</f>
        <v>166</v>
      </c>
    </row>
    <row r="20" spans="1:14">
      <c r="A20" s="33">
        <v>6</v>
      </c>
      <c r="B20" s="74" t="s">
        <v>112</v>
      </c>
      <c r="C20" s="75"/>
      <c r="D20" s="75"/>
      <c r="E20" s="75"/>
      <c r="F20" s="75"/>
      <c r="G20" s="75"/>
      <c r="H20" s="75"/>
      <c r="I20" s="75"/>
      <c r="J20" s="75"/>
      <c r="K20" s="59">
        <f>MAX(I4:I13)</f>
        <v>5930.61</v>
      </c>
    </row>
    <row r="21" spans="1:14">
      <c r="B21" s="75"/>
      <c r="C21" s="75"/>
      <c r="D21" s="75"/>
      <c r="E21" s="75"/>
      <c r="F21" s="75"/>
      <c r="G21" s="75"/>
      <c r="H21" s="75"/>
      <c r="I21" s="75"/>
      <c r="J21" s="75"/>
    </row>
    <row r="22" spans="1:14">
      <c r="B22" s="75"/>
      <c r="C22" s="75"/>
      <c r="D22" s="75"/>
      <c r="E22" s="75"/>
      <c r="F22" s="75"/>
      <c r="G22" s="75"/>
      <c r="H22" s="75"/>
      <c r="I22" s="75"/>
      <c r="J22" s="75"/>
    </row>
    <row r="23" spans="1:14">
      <c r="B23" s="75"/>
      <c r="C23" s="75"/>
      <c r="D23" s="75"/>
      <c r="E23" s="75"/>
      <c r="F23" s="75"/>
      <c r="G23" s="75"/>
      <c r="H23" s="75"/>
      <c r="I23" s="75"/>
      <c r="J23" s="75"/>
    </row>
    <row r="24" spans="1:14">
      <c r="B24" s="75"/>
      <c r="C24" s="75"/>
      <c r="D24" s="75"/>
      <c r="E24" s="75"/>
      <c r="F24" s="75"/>
      <c r="G24" s="75"/>
      <c r="H24" s="75"/>
      <c r="I24" s="75"/>
      <c r="J24" s="75"/>
    </row>
  </sheetData>
  <mergeCells count="10"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DD4-D4AF-42F7-91E7-5577C0E1F3B7}">
  <sheetPr codeName="Sheet5"/>
  <dimension ref="A1"/>
  <sheetViews>
    <sheetView zoomScale="120" zoomScaleNormal="120" workbookViewId="0">
      <selection activeCell="K21" sqref="K21"/>
    </sheetView>
  </sheetViews>
  <sheetFormatPr defaultColWidth="9.109375" defaultRowHeight="14.4"/>
  <cols>
    <col min="1" max="16384" width="9.109375" style="3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94F4-6799-45E0-A2ED-D69265349B2B}">
  <sheetPr codeName="Sheet6"/>
  <dimension ref="A1:T18"/>
  <sheetViews>
    <sheetView zoomScale="110" zoomScaleNormal="110" workbookViewId="0">
      <selection activeCell="O12" sqref="O12"/>
    </sheetView>
  </sheetViews>
  <sheetFormatPr defaultColWidth="9.109375" defaultRowHeight="14.4"/>
  <cols>
    <col min="1" max="1" width="9.109375" style="19"/>
    <col min="2" max="2" width="12.109375" style="19" bestFit="1" customWidth="1"/>
    <col min="3" max="7" width="9.109375" style="19"/>
    <col min="8" max="8" width="11.33203125" style="19" customWidth="1"/>
    <col min="9" max="10" width="9.109375" style="19"/>
    <col min="11" max="11" width="13.44140625" style="19" bestFit="1" customWidth="1"/>
    <col min="12" max="12" width="11.33203125" style="19" bestFit="1" customWidth="1"/>
    <col min="13" max="14" width="10.44140625" style="19" customWidth="1"/>
    <col min="15" max="16" width="12.33203125" style="19" bestFit="1" customWidth="1"/>
    <col min="17" max="16384" width="9.109375" style="19"/>
  </cols>
  <sheetData>
    <row r="1" spans="1:20" s="73" customFormat="1" ht="21">
      <c r="A1" s="70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3" spans="1:20" ht="15.6">
      <c r="B3" s="20" t="s">
        <v>10</v>
      </c>
      <c r="C3" s="21" t="s">
        <v>11</v>
      </c>
      <c r="D3" s="22" t="s">
        <v>12</v>
      </c>
      <c r="E3" s="20" t="s">
        <v>102</v>
      </c>
      <c r="F3" s="21" t="s">
        <v>103</v>
      </c>
      <c r="G3" s="21" t="s">
        <v>104</v>
      </c>
      <c r="H3" s="35" t="s">
        <v>105</v>
      </c>
      <c r="I3" s="25" t="s">
        <v>57</v>
      </c>
    </row>
    <row r="4" spans="1:20" ht="15.6">
      <c r="B4" s="23">
        <v>1</v>
      </c>
      <c r="C4" s="23" t="s">
        <v>19</v>
      </c>
      <c r="D4" s="44" t="s">
        <v>20</v>
      </c>
      <c r="E4" s="23">
        <v>56</v>
      </c>
      <c r="F4" s="23">
        <v>87</v>
      </c>
      <c r="G4" s="23">
        <v>35</v>
      </c>
      <c r="H4" s="19">
        <f>E4-F4</f>
        <v>-31</v>
      </c>
      <c r="I4" s="19">
        <f>ABS(H4)</f>
        <v>31</v>
      </c>
      <c r="K4" s="27" t="s">
        <v>47</v>
      </c>
      <c r="L4" s="28">
        <f>COUNT(F4:F13)</f>
        <v>8</v>
      </c>
      <c r="N4" s="27"/>
      <c r="O4" s="28"/>
      <c r="P4" s="26"/>
      <c r="Q4" s="26"/>
      <c r="T4" s="26"/>
    </row>
    <row r="5" spans="1:20">
      <c r="B5" s="23">
        <v>2</v>
      </c>
      <c r="C5" s="23" t="s">
        <v>21</v>
      </c>
      <c r="D5" s="44" t="s">
        <v>22</v>
      </c>
      <c r="E5" s="23">
        <v>98</v>
      </c>
      <c r="F5" s="23">
        <v>98</v>
      </c>
      <c r="G5" s="23">
        <v>68</v>
      </c>
      <c r="H5" s="19">
        <f t="shared" ref="H5:H13" si="0">E5-F5</f>
        <v>0</v>
      </c>
      <c r="I5" s="19">
        <f t="shared" ref="I5:I13" si="1">ABS(H5)</f>
        <v>0</v>
      </c>
      <c r="K5" s="26"/>
      <c r="L5" s="26"/>
      <c r="N5" s="19" t="s">
        <v>58</v>
      </c>
      <c r="O5" s="19">
        <f>PRODUCT(4,5)</f>
        <v>20</v>
      </c>
      <c r="P5" s="26"/>
      <c r="Q5" s="26"/>
      <c r="T5" s="26"/>
    </row>
    <row r="6" spans="1:20">
      <c r="B6" s="23">
        <v>3</v>
      </c>
      <c r="C6" s="23" t="s">
        <v>23</v>
      </c>
      <c r="D6" s="44" t="s">
        <v>24</v>
      </c>
      <c r="E6" s="23">
        <v>68</v>
      </c>
      <c r="F6" s="23" t="s">
        <v>107</v>
      </c>
      <c r="G6" s="23"/>
      <c r="H6" s="19" t="e">
        <f t="shared" si="0"/>
        <v>#VALUE!</v>
      </c>
      <c r="I6" s="19" t="e">
        <f t="shared" si="1"/>
        <v>#VALUE!</v>
      </c>
      <c r="K6" s="26"/>
      <c r="L6" s="26"/>
      <c r="P6" s="26"/>
      <c r="Q6" s="26"/>
      <c r="T6" s="26"/>
    </row>
    <row r="7" spans="1:20" ht="15.6">
      <c r="B7" s="23">
        <v>4</v>
      </c>
      <c r="C7" s="23" t="s">
        <v>25</v>
      </c>
      <c r="D7" s="44" t="s">
        <v>26</v>
      </c>
      <c r="E7" s="23">
        <v>57</v>
      </c>
      <c r="F7" s="23">
        <v>87</v>
      </c>
      <c r="G7" s="23">
        <v>58</v>
      </c>
      <c r="H7" s="19">
        <f t="shared" si="0"/>
        <v>-30</v>
      </c>
      <c r="I7" s="19">
        <f t="shared" si="1"/>
        <v>30</v>
      </c>
      <c r="K7" s="27" t="s">
        <v>48</v>
      </c>
      <c r="L7" s="28">
        <f>COUNTA(C4:C13)</f>
        <v>10</v>
      </c>
      <c r="N7" s="27"/>
      <c r="O7" s="28"/>
      <c r="Q7" s="26"/>
      <c r="T7" s="26"/>
    </row>
    <row r="8" spans="1:20">
      <c r="B8" s="23">
        <v>5</v>
      </c>
      <c r="C8" s="23" t="s">
        <v>27</v>
      </c>
      <c r="D8" s="44" t="s">
        <v>28</v>
      </c>
      <c r="E8" s="23">
        <v>54</v>
      </c>
      <c r="F8" s="23">
        <v>47</v>
      </c>
      <c r="G8" s="23">
        <v>87</v>
      </c>
      <c r="H8" s="19">
        <f t="shared" si="0"/>
        <v>7</v>
      </c>
      <c r="I8" s="19">
        <f t="shared" si="1"/>
        <v>7</v>
      </c>
      <c r="N8" s="19" t="s">
        <v>59</v>
      </c>
      <c r="O8" s="19">
        <f>SQRT(36)</f>
        <v>6</v>
      </c>
      <c r="Q8" s="26"/>
      <c r="T8" s="26"/>
    </row>
    <row r="9" spans="1:20" ht="15.6">
      <c r="B9" s="23">
        <v>6</v>
      </c>
      <c r="C9" s="23" t="s">
        <v>29</v>
      </c>
      <c r="D9" s="44" t="s">
        <v>30</v>
      </c>
      <c r="E9" s="23">
        <v>24</v>
      </c>
      <c r="F9" s="23">
        <v>52</v>
      </c>
      <c r="G9" s="23"/>
      <c r="H9" s="19">
        <f t="shared" si="0"/>
        <v>-28</v>
      </c>
      <c r="I9" s="19">
        <f t="shared" si="1"/>
        <v>28</v>
      </c>
      <c r="N9" s="27"/>
      <c r="O9" s="28"/>
      <c r="Q9" s="26"/>
      <c r="T9" s="26"/>
    </row>
    <row r="10" spans="1:20" ht="15.6">
      <c r="B10" s="23">
        <v>7</v>
      </c>
      <c r="C10" s="23" t="s">
        <v>31</v>
      </c>
      <c r="D10" s="44" t="s">
        <v>32</v>
      </c>
      <c r="E10" s="23">
        <v>65</v>
      </c>
      <c r="F10" s="23">
        <v>25</v>
      </c>
      <c r="G10" s="23">
        <v>61</v>
      </c>
      <c r="H10" s="19">
        <f t="shared" si="0"/>
        <v>40</v>
      </c>
      <c r="I10" s="19">
        <f t="shared" si="1"/>
        <v>40</v>
      </c>
      <c r="J10" s="27"/>
      <c r="K10" s="35" t="s">
        <v>71</v>
      </c>
      <c r="L10" s="26">
        <f>COUNTBLANK(G4:G13)</f>
        <v>3</v>
      </c>
      <c r="P10" s="26"/>
      <c r="Q10" s="26"/>
      <c r="T10" s="26"/>
    </row>
    <row r="11" spans="1:20">
      <c r="B11" s="23">
        <v>8</v>
      </c>
      <c r="C11" s="23" t="s">
        <v>33</v>
      </c>
      <c r="D11" s="44" t="s">
        <v>34</v>
      </c>
      <c r="E11" s="23">
        <v>54</v>
      </c>
      <c r="F11" s="23" t="s">
        <v>107</v>
      </c>
      <c r="G11" s="23"/>
      <c r="H11" s="19" t="e">
        <f t="shared" si="0"/>
        <v>#VALUE!</v>
      </c>
      <c r="I11" s="19" t="e">
        <f t="shared" si="1"/>
        <v>#VALUE!</v>
      </c>
      <c r="N11" s="19" t="s">
        <v>60</v>
      </c>
      <c r="O11" s="19">
        <f>POWER(2,3)</f>
        <v>8</v>
      </c>
      <c r="T11" s="26"/>
    </row>
    <row r="12" spans="1:20">
      <c r="B12" s="23">
        <v>9</v>
      </c>
      <c r="C12" s="23" t="s">
        <v>35</v>
      </c>
      <c r="D12" s="44" t="s">
        <v>36</v>
      </c>
      <c r="E12" s="23">
        <v>32</v>
      </c>
      <c r="F12" s="23">
        <v>87</v>
      </c>
      <c r="G12" s="23">
        <v>93</v>
      </c>
      <c r="H12" s="19">
        <f t="shared" si="0"/>
        <v>-55</v>
      </c>
      <c r="I12" s="19">
        <f t="shared" si="1"/>
        <v>55</v>
      </c>
      <c r="T12" s="26"/>
    </row>
    <row r="13" spans="1:20" ht="18.75" customHeight="1">
      <c r="B13" s="23">
        <v>10</v>
      </c>
      <c r="C13" s="23" t="s">
        <v>37</v>
      </c>
      <c r="D13" s="44" t="s">
        <v>38</v>
      </c>
      <c r="E13" s="23">
        <v>45</v>
      </c>
      <c r="F13" s="23">
        <v>98</v>
      </c>
      <c r="G13" s="23">
        <v>92</v>
      </c>
      <c r="H13" s="19">
        <f t="shared" si="0"/>
        <v>-53</v>
      </c>
      <c r="I13" s="19">
        <f t="shared" si="1"/>
        <v>53</v>
      </c>
      <c r="T13" s="26"/>
    </row>
    <row r="14" spans="1:20" ht="18">
      <c r="F14" s="79" t="s">
        <v>106</v>
      </c>
      <c r="G14" s="79"/>
      <c r="H14" s="79"/>
      <c r="I14" s="79"/>
      <c r="J14" s="79"/>
      <c r="K14" s="79"/>
      <c r="L14" s="79"/>
      <c r="M14" s="79"/>
      <c r="N14" s="79"/>
      <c r="O14" s="79"/>
      <c r="P14" s="26"/>
      <c r="Q14" s="26"/>
      <c r="R14" s="26"/>
      <c r="S14" s="26"/>
      <c r="T14" s="26"/>
    </row>
    <row r="15" spans="1:20" ht="18.75" customHeight="1">
      <c r="F15" s="26"/>
      <c r="G15" s="26"/>
      <c r="H15" s="26"/>
      <c r="I15" s="26"/>
      <c r="J15" s="26"/>
      <c r="K15" s="26"/>
      <c r="L15" s="26"/>
      <c r="M15" s="26"/>
      <c r="N15" s="27"/>
      <c r="O15" s="28"/>
      <c r="S15" s="29"/>
      <c r="T15" s="29"/>
    </row>
    <row r="16" spans="1:20" ht="18">
      <c r="F16" s="80" t="s">
        <v>108</v>
      </c>
      <c r="G16" s="81"/>
      <c r="H16" s="81"/>
      <c r="I16" s="81"/>
      <c r="J16" s="81"/>
      <c r="K16" s="81"/>
      <c r="L16" s="81"/>
      <c r="M16" s="82"/>
      <c r="N16" s="26"/>
      <c r="O16" s="26"/>
      <c r="S16" s="26"/>
      <c r="T16" s="26"/>
    </row>
    <row r="17" spans="6:20">
      <c r="S17" s="26"/>
      <c r="T17" s="26"/>
    </row>
    <row r="18" spans="6:20" ht="18">
      <c r="F18" s="83" t="s">
        <v>113</v>
      </c>
      <c r="G18" s="81"/>
      <c r="H18" s="81"/>
      <c r="I18" s="81"/>
      <c r="J18" s="81"/>
      <c r="K18" s="81"/>
      <c r="L18" s="81"/>
      <c r="M18" s="81"/>
      <c r="N18" s="81"/>
      <c r="O18" s="84"/>
    </row>
  </sheetData>
  <mergeCells count="4">
    <mergeCell ref="F14:O14"/>
    <mergeCell ref="F16:M16"/>
    <mergeCell ref="A1:XFD1"/>
    <mergeCell ref="F18:O1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2704-B5CE-4D1C-8283-AB694B75451D}">
  <dimension ref="C1:M18"/>
  <sheetViews>
    <sheetView workbookViewId="0">
      <selection activeCell="F4" sqref="F4:F18"/>
    </sheetView>
  </sheetViews>
  <sheetFormatPr defaultRowHeight="14.4"/>
  <cols>
    <col min="3" max="6" width="14.44140625" customWidth="1"/>
  </cols>
  <sheetData>
    <row r="1" spans="3:13" ht="21">
      <c r="C1" s="49" t="s">
        <v>185</v>
      </c>
    </row>
    <row r="3" spans="3:13">
      <c r="C3" s="46" t="s">
        <v>62</v>
      </c>
      <c r="D3" s="46" t="s">
        <v>114</v>
      </c>
      <c r="E3" s="46" t="s">
        <v>115</v>
      </c>
      <c r="F3" s="46" t="s">
        <v>116</v>
      </c>
    </row>
    <row r="4" spans="3:13">
      <c r="C4" s="47" t="s">
        <v>117</v>
      </c>
      <c r="D4" s="47">
        <v>10</v>
      </c>
      <c r="E4" s="47">
        <v>15</v>
      </c>
      <c r="F4" s="47">
        <v>5</v>
      </c>
    </row>
    <row r="5" spans="3:13">
      <c r="C5" s="47" t="s">
        <v>118</v>
      </c>
      <c r="D5" s="47">
        <v>4</v>
      </c>
      <c r="E5" s="47">
        <v>120</v>
      </c>
      <c r="F5" s="48"/>
      <c r="H5" s="85" t="s">
        <v>132</v>
      </c>
      <c r="I5" s="85"/>
      <c r="J5" s="85"/>
      <c r="K5" s="85"/>
      <c r="L5" s="85"/>
      <c r="M5">
        <f>COUNTA(F4:F18)</f>
        <v>9</v>
      </c>
    </row>
    <row r="6" spans="3:13">
      <c r="C6" s="47" t="s">
        <v>119</v>
      </c>
      <c r="D6" s="47">
        <v>2</v>
      </c>
      <c r="E6" s="47">
        <v>450</v>
      </c>
      <c r="F6" s="47"/>
    </row>
    <row r="7" spans="3:13">
      <c r="C7" s="47" t="s">
        <v>120</v>
      </c>
      <c r="D7" s="47">
        <v>5</v>
      </c>
      <c r="E7" s="47">
        <v>60</v>
      </c>
      <c r="F7" s="47">
        <v>12</v>
      </c>
      <c r="H7" s="85" t="s">
        <v>133</v>
      </c>
      <c r="I7" s="85"/>
      <c r="J7" s="85"/>
      <c r="K7" s="85"/>
      <c r="L7" s="85"/>
      <c r="M7">
        <f>COUNTA(C4:C18)</f>
        <v>15</v>
      </c>
    </row>
    <row r="8" spans="3:13">
      <c r="C8" s="47" t="s">
        <v>121</v>
      </c>
      <c r="D8" s="47">
        <v>8</v>
      </c>
      <c r="E8" s="47">
        <v>30</v>
      </c>
      <c r="F8" s="47">
        <v>8</v>
      </c>
    </row>
    <row r="9" spans="3:13">
      <c r="C9" s="47" t="s">
        <v>122</v>
      </c>
      <c r="D9" s="47">
        <v>3</v>
      </c>
      <c r="E9" s="47">
        <v>80</v>
      </c>
      <c r="F9" s="47">
        <v>5</v>
      </c>
      <c r="H9" s="85" t="s">
        <v>134</v>
      </c>
      <c r="I9" s="85"/>
      <c r="J9" s="85"/>
      <c r="K9" s="85"/>
      <c r="L9" s="85"/>
      <c r="M9">
        <f>COUNTBLANK(F4:F18)</f>
        <v>6</v>
      </c>
    </row>
    <row r="10" spans="3:13">
      <c r="C10" s="47" t="s">
        <v>123</v>
      </c>
      <c r="D10" s="47">
        <v>6</v>
      </c>
      <c r="E10" s="47">
        <v>25</v>
      </c>
      <c r="F10" s="47"/>
    </row>
    <row r="11" spans="3:13">
      <c r="C11" s="47" t="s">
        <v>124</v>
      </c>
      <c r="D11" s="47">
        <v>9</v>
      </c>
      <c r="E11" s="47">
        <v>12</v>
      </c>
      <c r="F11" s="47">
        <v>2</v>
      </c>
    </row>
    <row r="12" spans="3:13">
      <c r="C12" s="47" t="s">
        <v>125</v>
      </c>
      <c r="D12" s="47">
        <v>12</v>
      </c>
      <c r="E12" s="47">
        <v>5</v>
      </c>
      <c r="F12" s="48"/>
    </row>
    <row r="13" spans="3:13">
      <c r="C13" s="47" t="s">
        <v>126</v>
      </c>
      <c r="D13" s="47">
        <v>7</v>
      </c>
      <c r="E13" s="47">
        <v>45</v>
      </c>
      <c r="F13" s="47">
        <v>10</v>
      </c>
    </row>
    <row r="14" spans="3:13">
      <c r="C14" s="47" t="s">
        <v>127</v>
      </c>
      <c r="D14" s="47">
        <v>5</v>
      </c>
      <c r="E14" s="47">
        <v>100</v>
      </c>
      <c r="F14" s="48"/>
    </row>
    <row r="15" spans="3:13">
      <c r="C15" s="47" t="s">
        <v>128</v>
      </c>
      <c r="D15" s="47">
        <v>11</v>
      </c>
      <c r="E15" s="47">
        <v>55</v>
      </c>
      <c r="F15" s="47">
        <v>5</v>
      </c>
    </row>
    <row r="16" spans="3:13">
      <c r="C16" s="47" t="s">
        <v>129</v>
      </c>
      <c r="D16" s="47">
        <v>10</v>
      </c>
      <c r="E16" s="47">
        <v>40</v>
      </c>
      <c r="F16" s="47">
        <v>3</v>
      </c>
    </row>
    <row r="17" spans="3:6">
      <c r="C17" s="47" t="s">
        <v>130</v>
      </c>
      <c r="D17" s="47">
        <v>4</v>
      </c>
      <c r="E17" s="47">
        <v>300</v>
      </c>
      <c r="F17" s="48"/>
    </row>
    <row r="18" spans="3:6">
      <c r="C18" s="47" t="s">
        <v>131</v>
      </c>
      <c r="D18" s="47">
        <v>6</v>
      </c>
      <c r="E18" s="47">
        <v>22</v>
      </c>
      <c r="F18" s="47">
        <v>7</v>
      </c>
    </row>
  </sheetData>
  <mergeCells count="3">
    <mergeCell ref="H5:L5"/>
    <mergeCell ref="H7:L7"/>
    <mergeCell ref="H9:L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D7A-5B3A-44CA-B0D8-687A60A28B80}">
  <dimension ref="B1:S32"/>
  <sheetViews>
    <sheetView topLeftCell="A6" workbookViewId="0">
      <selection activeCell="S33" sqref="S33"/>
    </sheetView>
  </sheetViews>
  <sheetFormatPr defaultRowHeight="14.4"/>
  <sheetData>
    <row r="1" spans="2:19" ht="25.8">
      <c r="B1" s="50" t="s">
        <v>187</v>
      </c>
    </row>
    <row r="3" spans="2:19" ht="43.2">
      <c r="C3" s="46" t="s">
        <v>135</v>
      </c>
      <c r="D3" s="46" t="s">
        <v>50</v>
      </c>
      <c r="E3" s="46" t="s">
        <v>136</v>
      </c>
      <c r="F3" s="46" t="s">
        <v>137</v>
      </c>
      <c r="G3" s="46" t="s">
        <v>138</v>
      </c>
      <c r="H3" s="46" t="s">
        <v>139</v>
      </c>
    </row>
    <row r="4" spans="2:19">
      <c r="C4" s="47" t="s">
        <v>140</v>
      </c>
      <c r="D4" s="47" t="s">
        <v>64</v>
      </c>
      <c r="E4" s="47">
        <v>10</v>
      </c>
      <c r="F4" s="47">
        <v>5.5377999999999998</v>
      </c>
      <c r="G4" s="47">
        <v>1200</v>
      </c>
      <c r="H4" s="47">
        <v>50</v>
      </c>
      <c r="K4" s="88" t="s">
        <v>168</v>
      </c>
      <c r="L4" s="88"/>
      <c r="M4" s="88"/>
      <c r="N4" s="88"/>
      <c r="O4" s="88"/>
      <c r="P4" s="88"/>
      <c r="Q4" s="88"/>
      <c r="S4">
        <f>SUM(G4:G18)</f>
        <v>12330</v>
      </c>
    </row>
    <row r="5" spans="2:19">
      <c r="C5" s="47" t="s">
        <v>141</v>
      </c>
      <c r="D5" s="47" t="s">
        <v>142</v>
      </c>
      <c r="E5" s="47">
        <v>5</v>
      </c>
      <c r="F5" s="47">
        <v>7.9812000000000003</v>
      </c>
      <c r="G5" s="47">
        <v>1500</v>
      </c>
      <c r="H5" s="47">
        <v>60</v>
      </c>
      <c r="K5" s="89"/>
      <c r="L5" s="89"/>
      <c r="M5" s="89"/>
      <c r="N5" s="89"/>
      <c r="O5" s="89"/>
      <c r="P5" s="89"/>
      <c r="Q5" s="89"/>
    </row>
    <row r="6" spans="2:19">
      <c r="C6" s="47" t="s">
        <v>143</v>
      </c>
      <c r="D6" s="47" t="s">
        <v>144</v>
      </c>
      <c r="E6" s="47" t="s">
        <v>183</v>
      </c>
      <c r="F6" s="47">
        <v>3.2456</v>
      </c>
      <c r="G6" s="47"/>
      <c r="H6" s="47">
        <v>40</v>
      </c>
      <c r="K6" s="88" t="s">
        <v>169</v>
      </c>
      <c r="L6" s="88"/>
      <c r="M6" s="88"/>
      <c r="N6" s="88"/>
      <c r="O6" s="88"/>
      <c r="P6" s="88"/>
      <c r="Q6" s="88"/>
      <c r="S6">
        <f>SUM(H4:H18)</f>
        <v>604</v>
      </c>
    </row>
    <row r="7" spans="2:19">
      <c r="C7" s="47" t="s">
        <v>145</v>
      </c>
      <c r="D7" s="47" t="s">
        <v>146</v>
      </c>
      <c r="E7" s="47">
        <v>20</v>
      </c>
      <c r="F7" s="47">
        <v>1.0083</v>
      </c>
      <c r="G7" s="47">
        <v>600</v>
      </c>
      <c r="H7" s="47">
        <v>20</v>
      </c>
      <c r="K7" s="89"/>
      <c r="L7" s="89"/>
      <c r="M7" s="89"/>
      <c r="N7" s="89"/>
      <c r="O7" s="89"/>
      <c r="P7" s="89"/>
      <c r="Q7" s="89"/>
    </row>
    <row r="8" spans="2:19">
      <c r="C8" s="47" t="s">
        <v>147</v>
      </c>
      <c r="D8" s="47" t="s">
        <v>148</v>
      </c>
      <c r="E8" s="47">
        <v>8</v>
      </c>
      <c r="F8" s="47">
        <v>6.5891000000000002</v>
      </c>
      <c r="G8" s="47">
        <v>1400</v>
      </c>
      <c r="H8" s="47">
        <v>55</v>
      </c>
      <c r="K8" s="88" t="s">
        <v>170</v>
      </c>
      <c r="L8" s="88"/>
      <c r="M8" s="88"/>
      <c r="N8" s="88"/>
      <c r="O8" s="88"/>
      <c r="P8" s="88"/>
      <c r="Q8" s="88"/>
      <c r="S8">
        <f>SUM(E4:E18)</f>
        <v>168</v>
      </c>
    </row>
    <row r="9" spans="2:19">
      <c r="C9" s="47" t="s">
        <v>149</v>
      </c>
      <c r="D9" s="47" t="s">
        <v>150</v>
      </c>
      <c r="E9" s="47">
        <v>6</v>
      </c>
      <c r="F9" s="47">
        <v>4.4226999999999999</v>
      </c>
      <c r="G9" s="47">
        <v>1000</v>
      </c>
      <c r="H9" s="47">
        <v>45</v>
      </c>
      <c r="K9" s="87"/>
      <c r="L9" s="87"/>
      <c r="M9" s="87"/>
      <c r="N9" s="87"/>
      <c r="O9" s="87"/>
      <c r="P9" s="87"/>
      <c r="Q9" s="87"/>
    </row>
    <row r="10" spans="2:19">
      <c r="C10" s="47" t="s">
        <v>151</v>
      </c>
      <c r="D10" s="47" t="s">
        <v>68</v>
      </c>
      <c r="E10" s="47">
        <v>12</v>
      </c>
      <c r="F10" s="47">
        <v>2.8744999999999998</v>
      </c>
      <c r="G10" s="47">
        <v>1100</v>
      </c>
      <c r="H10" s="47">
        <v>50</v>
      </c>
      <c r="K10" s="88" t="s">
        <v>171</v>
      </c>
      <c r="L10" s="88"/>
      <c r="M10" s="88"/>
      <c r="N10" s="88"/>
      <c r="O10" s="88"/>
      <c r="P10" s="88"/>
      <c r="Q10" s="88"/>
      <c r="S10">
        <f>AVERAGE(F4:F18)</f>
        <v>3.1501200000000003</v>
      </c>
    </row>
    <row r="11" spans="2:19">
      <c r="C11" s="47" t="s">
        <v>152</v>
      </c>
      <c r="D11" s="47" t="s">
        <v>153</v>
      </c>
      <c r="E11" s="47">
        <v>9</v>
      </c>
      <c r="F11" s="47">
        <v>3.3451</v>
      </c>
      <c r="G11" s="47"/>
      <c r="H11" s="47">
        <v>48</v>
      </c>
      <c r="K11" s="89"/>
      <c r="L11" s="89"/>
      <c r="M11" s="89"/>
      <c r="N11" s="89"/>
      <c r="O11" s="89"/>
      <c r="P11" s="89"/>
      <c r="Q11" s="89"/>
    </row>
    <row r="12" spans="2:19">
      <c r="C12" s="47" t="s">
        <v>154</v>
      </c>
      <c r="D12" s="47" t="s">
        <v>155</v>
      </c>
      <c r="E12" s="47">
        <v>14</v>
      </c>
      <c r="F12" s="47">
        <v>4.0327999999999999</v>
      </c>
      <c r="G12" s="47">
        <v>1050</v>
      </c>
      <c r="H12" s="47">
        <v>52</v>
      </c>
      <c r="K12" s="88" t="s">
        <v>172</v>
      </c>
      <c r="L12" s="88"/>
      <c r="M12" s="88"/>
      <c r="N12" s="88"/>
      <c r="O12" s="88"/>
      <c r="P12" s="88"/>
      <c r="Q12" s="88"/>
      <c r="S12">
        <f>AVERAGE(G4:G18)</f>
        <v>948.46153846153845</v>
      </c>
    </row>
    <row r="13" spans="2:19" ht="28.8">
      <c r="C13" s="47" t="s">
        <v>156</v>
      </c>
      <c r="D13" s="47" t="s">
        <v>157</v>
      </c>
      <c r="E13" s="47">
        <v>7</v>
      </c>
      <c r="F13" s="47">
        <v>2.1196999999999999</v>
      </c>
      <c r="G13" s="47">
        <v>900</v>
      </c>
      <c r="H13" s="47">
        <v>44</v>
      </c>
      <c r="K13" s="89"/>
      <c r="L13" s="89"/>
      <c r="M13" s="89"/>
      <c r="N13" s="89"/>
      <c r="O13" s="89"/>
      <c r="P13" s="89"/>
      <c r="Q13" s="89"/>
    </row>
    <row r="14" spans="2:19">
      <c r="C14" s="47" t="s">
        <v>158</v>
      </c>
      <c r="D14" s="47" t="s">
        <v>159</v>
      </c>
      <c r="E14" s="47">
        <v>25</v>
      </c>
      <c r="F14" s="47">
        <v>0.51759999999999995</v>
      </c>
      <c r="G14" s="47">
        <v>500</v>
      </c>
      <c r="H14" s="47">
        <v>18</v>
      </c>
      <c r="K14" s="88" t="s">
        <v>173</v>
      </c>
      <c r="L14" s="88"/>
      <c r="M14" s="88"/>
      <c r="N14" s="88"/>
      <c r="O14" s="88"/>
      <c r="P14" s="88"/>
      <c r="Q14" s="88"/>
      <c r="S14">
        <f>AVERAGE(H4:H18)</f>
        <v>40.266666666666666</v>
      </c>
    </row>
    <row r="15" spans="2:19">
      <c r="C15" s="47" t="s">
        <v>160</v>
      </c>
      <c r="D15" s="47" t="s">
        <v>161</v>
      </c>
      <c r="E15" s="47">
        <v>18</v>
      </c>
      <c r="F15" s="47">
        <v>0.71489999999999998</v>
      </c>
      <c r="G15" s="47">
        <v>550</v>
      </c>
      <c r="H15" s="47">
        <v>22</v>
      </c>
      <c r="K15" s="87"/>
      <c r="L15" s="87"/>
      <c r="M15" s="87"/>
      <c r="N15" s="87"/>
      <c r="O15" s="87"/>
      <c r="P15" s="87"/>
      <c r="Q15" s="87"/>
    </row>
    <row r="16" spans="2:19">
      <c r="C16" s="47" t="s">
        <v>162</v>
      </c>
      <c r="D16" s="47" t="s">
        <v>163</v>
      </c>
      <c r="E16" s="47">
        <v>11</v>
      </c>
      <c r="F16" s="47">
        <v>1.2633000000000001</v>
      </c>
      <c r="G16" s="47">
        <v>650</v>
      </c>
      <c r="H16" s="47">
        <v>25</v>
      </c>
      <c r="K16" s="88" t="s">
        <v>175</v>
      </c>
      <c r="L16" s="88"/>
      <c r="M16" s="88"/>
      <c r="N16" s="88"/>
      <c r="O16" s="88"/>
      <c r="P16" s="88"/>
      <c r="Q16" s="88"/>
      <c r="S16">
        <f>COUNT(G4:G18)</f>
        <v>13</v>
      </c>
    </row>
    <row r="17" spans="3:19">
      <c r="C17" s="47" t="s">
        <v>164</v>
      </c>
      <c r="D17" s="47" t="s">
        <v>165</v>
      </c>
      <c r="E17" s="47">
        <v>13</v>
      </c>
      <c r="F17" s="47">
        <v>0.6018</v>
      </c>
      <c r="G17" s="47">
        <v>580</v>
      </c>
      <c r="H17" s="47">
        <v>20</v>
      </c>
      <c r="K17" s="89"/>
      <c r="L17" s="89"/>
      <c r="M17" s="89"/>
      <c r="N17" s="89"/>
      <c r="O17" s="89"/>
      <c r="P17" s="89"/>
      <c r="Q17" s="89"/>
    </row>
    <row r="18" spans="3:19" ht="28.8">
      <c r="C18" s="47" t="s">
        <v>166</v>
      </c>
      <c r="D18" s="47" t="s">
        <v>167</v>
      </c>
      <c r="E18" s="47">
        <v>10</v>
      </c>
      <c r="F18" s="47">
        <v>2.9973999999999998</v>
      </c>
      <c r="G18" s="47">
        <v>1300</v>
      </c>
      <c r="H18" s="47">
        <v>55</v>
      </c>
      <c r="K18" s="88" t="s">
        <v>174</v>
      </c>
      <c r="L18" s="88"/>
      <c r="M18" s="88"/>
      <c r="N18" s="88"/>
      <c r="O18" s="88"/>
      <c r="P18" s="88"/>
      <c r="Q18" s="88"/>
      <c r="S18">
        <f>COUNT(E4:E18)</f>
        <v>14</v>
      </c>
    </row>
    <row r="19" spans="3:19">
      <c r="K19" s="87"/>
      <c r="L19" s="87"/>
      <c r="M19" s="87"/>
      <c r="N19" s="87"/>
      <c r="O19" s="87"/>
      <c r="P19" s="87"/>
      <c r="Q19" s="87"/>
    </row>
    <row r="20" spans="3:19">
      <c r="K20" s="85" t="s">
        <v>176</v>
      </c>
      <c r="L20" s="85"/>
      <c r="M20" s="85"/>
      <c r="N20" s="85"/>
      <c r="O20" s="85"/>
      <c r="P20" s="85"/>
      <c r="Q20" s="85"/>
      <c r="S20">
        <f>COUNTA(D4:D18)</f>
        <v>15</v>
      </c>
    </row>
    <row r="21" spans="3:19">
      <c r="K21" s="87"/>
      <c r="L21" s="87"/>
      <c r="M21" s="87"/>
      <c r="N21" s="87"/>
      <c r="O21" s="87"/>
      <c r="P21" s="87"/>
      <c r="Q21" s="87"/>
    </row>
    <row r="22" spans="3:19">
      <c r="K22" s="85" t="s">
        <v>177</v>
      </c>
      <c r="L22" s="85"/>
      <c r="M22" s="85"/>
      <c r="N22" s="85"/>
      <c r="O22" s="85"/>
      <c r="P22" s="85"/>
      <c r="Q22" s="85"/>
      <c r="S22">
        <f>COUNT(H4:H18)</f>
        <v>15</v>
      </c>
    </row>
    <row r="23" spans="3:19">
      <c r="K23" s="87"/>
      <c r="L23" s="87"/>
      <c r="M23" s="87"/>
      <c r="N23" s="87"/>
      <c r="O23" s="87"/>
      <c r="P23" s="87"/>
      <c r="Q23" s="87"/>
    </row>
    <row r="24" spans="3:19">
      <c r="K24" s="88" t="s">
        <v>178</v>
      </c>
      <c r="L24" s="88"/>
      <c r="M24" s="88"/>
      <c r="N24" s="88"/>
      <c r="O24" s="88"/>
      <c r="P24" s="88"/>
      <c r="Q24" s="88"/>
      <c r="S24">
        <f>MAX(E4:E18)</f>
        <v>25</v>
      </c>
    </row>
    <row r="25" spans="3:19">
      <c r="K25" s="89"/>
      <c r="L25" s="89"/>
      <c r="M25" s="89"/>
      <c r="N25" s="89"/>
      <c r="O25" s="89"/>
      <c r="P25" s="89"/>
      <c r="Q25" s="89"/>
    </row>
    <row r="26" spans="3:19">
      <c r="I26" s="90" t="s">
        <v>184</v>
      </c>
      <c r="J26" s="90"/>
      <c r="K26" s="86" t="s">
        <v>179</v>
      </c>
      <c r="L26" s="86"/>
      <c r="M26" s="86"/>
      <c r="N26" s="86"/>
      <c r="O26" s="86"/>
      <c r="P26" s="86"/>
      <c r="Q26" s="86"/>
      <c r="R26" t="str">
        <f>VLOOKUP(MAX(G3:G18),CHOOSE({1,2},G3:G18,D3:D18),2,FALSE)</f>
        <v>Monitor</v>
      </c>
    </row>
    <row r="27" spans="3:19">
      <c r="K27" s="87"/>
      <c r="L27" s="87"/>
      <c r="M27" s="87"/>
      <c r="N27" s="87"/>
      <c r="O27" s="87"/>
      <c r="P27" s="87"/>
      <c r="Q27" s="87"/>
    </row>
    <row r="28" spans="3:19">
      <c r="K28" s="88" t="s">
        <v>180</v>
      </c>
      <c r="L28" s="88"/>
      <c r="M28" s="88"/>
      <c r="N28" s="88"/>
      <c r="O28" s="88"/>
      <c r="P28" s="88"/>
      <c r="Q28" s="88"/>
      <c r="S28">
        <f>MIN(H4:H18)</f>
        <v>18</v>
      </c>
    </row>
    <row r="29" spans="3:19">
      <c r="K29" s="89"/>
      <c r="L29" s="89"/>
      <c r="M29" s="89"/>
      <c r="N29" s="89"/>
      <c r="O29" s="89"/>
      <c r="P29" s="89"/>
      <c r="Q29" s="89"/>
    </row>
    <row r="30" spans="3:19">
      <c r="I30" s="90" t="s">
        <v>184</v>
      </c>
      <c r="J30" s="90"/>
      <c r="K30" s="86" t="s">
        <v>181</v>
      </c>
      <c r="L30" s="86"/>
      <c r="M30" s="86"/>
      <c r="N30" s="86"/>
      <c r="O30" s="86"/>
      <c r="P30" s="86"/>
      <c r="Q30" s="86"/>
      <c r="S30">
        <f>MIN(F4:F18)</f>
        <v>0.51759999999999995</v>
      </c>
    </row>
    <row r="31" spans="3:19">
      <c r="K31" s="87"/>
      <c r="L31" s="87"/>
      <c r="M31" s="87"/>
      <c r="N31" s="87"/>
      <c r="O31" s="87"/>
      <c r="P31" s="87"/>
      <c r="Q31" s="87"/>
    </row>
    <row r="32" spans="3:19">
      <c r="K32" s="85" t="s">
        <v>182</v>
      </c>
      <c r="L32" s="85"/>
      <c r="M32" s="85"/>
      <c r="N32" s="85"/>
      <c r="O32" s="85"/>
      <c r="P32" s="85"/>
      <c r="Q32" s="85"/>
      <c r="S32">
        <f>ROUND(F4,1)</f>
        <v>5.5</v>
      </c>
    </row>
  </sheetData>
  <mergeCells count="31">
    <mergeCell ref="I26:J26"/>
    <mergeCell ref="I30:J30"/>
    <mergeCell ref="K4:Q4"/>
    <mergeCell ref="K5:Q5"/>
    <mergeCell ref="K6:Q6"/>
    <mergeCell ref="K7:Q7"/>
    <mergeCell ref="K8:Q8"/>
    <mergeCell ref="K9:Q9"/>
    <mergeCell ref="K10:Q10"/>
    <mergeCell ref="K11:Q11"/>
    <mergeCell ref="K23:Q23"/>
    <mergeCell ref="K12:Q12"/>
    <mergeCell ref="K13:Q13"/>
    <mergeCell ref="K14:Q14"/>
    <mergeCell ref="K15:Q15"/>
    <mergeCell ref="K16:Q16"/>
    <mergeCell ref="K17:Q17"/>
    <mergeCell ref="K18:Q18"/>
    <mergeCell ref="K19:Q19"/>
    <mergeCell ref="K20:Q20"/>
    <mergeCell ref="K21:Q21"/>
    <mergeCell ref="K22:Q22"/>
    <mergeCell ref="K30:Q30"/>
    <mergeCell ref="K31:Q31"/>
    <mergeCell ref="K32:Q32"/>
    <mergeCell ref="K24:Q24"/>
    <mergeCell ref="K25:Q25"/>
    <mergeCell ref="K26:Q26"/>
    <mergeCell ref="K27:Q27"/>
    <mergeCell ref="K28:Q28"/>
    <mergeCell ref="K29:Q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5A83-08CC-466B-9ACF-AB73373CC579}">
  <sheetPr codeName="Sheet16"/>
  <dimension ref="A1"/>
  <sheetViews>
    <sheetView showGridLines="0" workbookViewId="0">
      <selection activeCell="Q10" sqref="Q10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A055-98FE-4A67-986B-43BAB0782E28}">
  <dimension ref="B1:O11"/>
  <sheetViews>
    <sheetView workbookViewId="0">
      <selection activeCell="P4" sqref="P4"/>
    </sheetView>
  </sheetViews>
  <sheetFormatPr defaultRowHeight="14.4"/>
  <sheetData>
    <row r="1" spans="2:15" ht="21">
      <c r="C1" s="49" t="s">
        <v>232</v>
      </c>
    </row>
    <row r="3" spans="2:15" ht="28.8">
      <c r="B3" s="46" t="s">
        <v>214</v>
      </c>
      <c r="C3" s="46" t="s">
        <v>215</v>
      </c>
      <c r="D3" s="46" t="s">
        <v>216</v>
      </c>
      <c r="E3" s="46" t="s">
        <v>217</v>
      </c>
      <c r="F3" s="46" t="s">
        <v>218</v>
      </c>
      <c r="G3" s="46" t="s">
        <v>191</v>
      </c>
      <c r="I3" s="85" t="s">
        <v>233</v>
      </c>
      <c r="J3" s="85"/>
      <c r="K3" s="85"/>
      <c r="L3" s="85"/>
      <c r="M3" s="85"/>
      <c r="N3" s="85"/>
      <c r="O3">
        <f>SUMIF(C4:C10,C4,E4:E10)</f>
        <v>280</v>
      </c>
    </row>
    <row r="4" spans="2:15" ht="28.8">
      <c r="B4" s="47" t="s">
        <v>219</v>
      </c>
      <c r="C4" s="47" t="s">
        <v>192</v>
      </c>
      <c r="D4" s="47" t="s">
        <v>220</v>
      </c>
      <c r="E4" s="47">
        <v>120</v>
      </c>
      <c r="F4" s="47">
        <v>1500</v>
      </c>
      <c r="G4" s="47" t="s">
        <v>221</v>
      </c>
    </row>
    <row r="5" spans="2:15" ht="28.8">
      <c r="B5" s="47" t="s">
        <v>222</v>
      </c>
      <c r="C5" s="47" t="s">
        <v>194</v>
      </c>
      <c r="D5" s="47" t="s">
        <v>223</v>
      </c>
      <c r="E5" s="47">
        <v>80</v>
      </c>
      <c r="F5" s="47">
        <v>2200</v>
      </c>
      <c r="G5" s="47" t="s">
        <v>195</v>
      </c>
      <c r="I5" s="85" t="s">
        <v>234</v>
      </c>
      <c r="J5" s="85"/>
      <c r="K5" s="85"/>
      <c r="L5" s="85"/>
      <c r="M5" s="85"/>
      <c r="N5" s="85"/>
      <c r="O5">
        <f>SUMIF(D4:D10,D4,E4:E10)</f>
        <v>360</v>
      </c>
    </row>
    <row r="6" spans="2:15" ht="28.8">
      <c r="B6" s="47" t="s">
        <v>224</v>
      </c>
      <c r="C6" s="47" t="s">
        <v>225</v>
      </c>
      <c r="D6" s="47" t="s">
        <v>220</v>
      </c>
      <c r="E6" s="47">
        <v>200</v>
      </c>
      <c r="F6" s="47">
        <v>50</v>
      </c>
      <c r="G6" s="47" t="s">
        <v>226</v>
      </c>
    </row>
    <row r="7" spans="2:15" ht="28.8">
      <c r="B7" s="47" t="s">
        <v>227</v>
      </c>
      <c r="C7" s="47" t="s">
        <v>192</v>
      </c>
      <c r="D7" s="47" t="s">
        <v>228</v>
      </c>
      <c r="E7" s="47">
        <v>60</v>
      </c>
      <c r="F7" s="47">
        <v>1400</v>
      </c>
      <c r="G7" s="47" t="s">
        <v>221</v>
      </c>
      <c r="I7" s="85" t="s">
        <v>235</v>
      </c>
      <c r="J7" s="85"/>
      <c r="K7" s="85"/>
      <c r="L7" s="85"/>
      <c r="M7" s="85"/>
      <c r="N7" s="85"/>
      <c r="O7">
        <f>SUMIF(G4:G10,G9,E4:E10)</f>
        <v>350</v>
      </c>
    </row>
    <row r="8" spans="2:15" ht="28.8">
      <c r="B8" s="47" t="s">
        <v>229</v>
      </c>
      <c r="C8" s="47" t="s">
        <v>194</v>
      </c>
      <c r="D8" s="47" t="s">
        <v>220</v>
      </c>
      <c r="E8" s="47">
        <v>40</v>
      </c>
      <c r="F8" s="47">
        <v>2100</v>
      </c>
      <c r="G8" s="47" t="s">
        <v>195</v>
      </c>
    </row>
    <row r="9" spans="2:15" ht="28.8">
      <c r="B9" s="47" t="s">
        <v>230</v>
      </c>
      <c r="C9" s="47" t="s">
        <v>225</v>
      </c>
      <c r="D9" s="47" t="s">
        <v>223</v>
      </c>
      <c r="E9" s="47">
        <v>150</v>
      </c>
      <c r="F9" s="47">
        <v>60</v>
      </c>
      <c r="G9" s="47" t="s">
        <v>226</v>
      </c>
      <c r="I9" s="85" t="s">
        <v>236</v>
      </c>
      <c r="J9" s="85"/>
      <c r="K9" s="85"/>
      <c r="L9" s="85"/>
      <c r="M9" s="85"/>
      <c r="N9" s="85"/>
      <c r="O9">
        <f>SUMIF(C4:C10,C5,E4:E10)</f>
        <v>120</v>
      </c>
    </row>
    <row r="10" spans="2:15" ht="28.8">
      <c r="B10" s="47" t="s">
        <v>231</v>
      </c>
      <c r="C10" s="47" t="s">
        <v>192</v>
      </c>
      <c r="D10" s="47" t="s">
        <v>223</v>
      </c>
      <c r="E10" s="47">
        <v>100</v>
      </c>
      <c r="F10" s="47">
        <v>1600</v>
      </c>
      <c r="G10" s="47" t="s">
        <v>221</v>
      </c>
    </row>
    <row r="11" spans="2:15">
      <c r="I11" s="37"/>
    </row>
  </sheetData>
  <mergeCells count="4">
    <mergeCell ref="I3:N3"/>
    <mergeCell ref="I5:N5"/>
    <mergeCell ref="I7:N7"/>
    <mergeCell ref="I9:N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AE54-9C60-4EF2-B099-AB1E82CAD33C}">
  <dimension ref="C1:U31"/>
  <sheetViews>
    <sheetView topLeftCell="A4" zoomScale="90" zoomScaleNormal="90" workbookViewId="0">
      <selection activeCell="U32" sqref="U32"/>
    </sheetView>
  </sheetViews>
  <sheetFormatPr defaultRowHeight="14.4"/>
  <cols>
    <col min="3" max="7" width="11" customWidth="1"/>
    <col min="8" max="8" width="12.88671875" customWidth="1"/>
  </cols>
  <sheetData>
    <row r="1" spans="3:21" ht="21">
      <c r="C1" s="31" t="s">
        <v>198</v>
      </c>
    </row>
    <row r="3" spans="3:21" ht="28.8">
      <c r="C3" s="46" t="s">
        <v>188</v>
      </c>
      <c r="D3" s="46" t="s">
        <v>61</v>
      </c>
      <c r="E3" s="46" t="s">
        <v>189</v>
      </c>
      <c r="F3" s="46" t="s">
        <v>114</v>
      </c>
      <c r="G3" s="46" t="s">
        <v>190</v>
      </c>
      <c r="H3" s="46" t="s">
        <v>191</v>
      </c>
      <c r="J3">
        <v>1</v>
      </c>
      <c r="K3" s="37" t="s">
        <v>199</v>
      </c>
      <c r="Q3" s="55" t="s">
        <v>63</v>
      </c>
      <c r="R3">
        <f>SUMIF(D3:D18,Q3,F3:F18)</f>
        <v>240</v>
      </c>
      <c r="U3">
        <f>SUMIF(D4:D18,D4,F4:F18)</f>
        <v>240</v>
      </c>
    </row>
    <row r="4" spans="3:21">
      <c r="C4" s="47">
        <v>1001</v>
      </c>
      <c r="D4" s="47" t="s">
        <v>63</v>
      </c>
      <c r="E4" s="47" t="s">
        <v>192</v>
      </c>
      <c r="F4" s="47">
        <v>50</v>
      </c>
      <c r="G4" s="47">
        <v>1200</v>
      </c>
      <c r="H4" s="47" t="s">
        <v>193</v>
      </c>
      <c r="I4" s="60" t="s">
        <v>336</v>
      </c>
    </row>
    <row r="5" spans="3:21">
      <c r="C5" s="47">
        <v>1002</v>
      </c>
      <c r="D5" s="47" t="s">
        <v>65</v>
      </c>
      <c r="E5" s="47" t="s">
        <v>194</v>
      </c>
      <c r="F5" s="47">
        <v>30</v>
      </c>
      <c r="G5" s="47">
        <v>800</v>
      </c>
      <c r="H5" s="47" t="s">
        <v>195</v>
      </c>
      <c r="J5">
        <v>2</v>
      </c>
      <c r="K5" s="37" t="s">
        <v>200</v>
      </c>
      <c r="R5">
        <f>SUMIF(E3:E18,E5,F3:F18)</f>
        <v>195</v>
      </c>
      <c r="U5">
        <f>SUMIF(E4:E18,E5,F4:F18)</f>
        <v>195</v>
      </c>
    </row>
    <row r="6" spans="3:21">
      <c r="C6" s="47">
        <v>1003</v>
      </c>
      <c r="D6" s="47" t="s">
        <v>66</v>
      </c>
      <c r="E6" s="47" t="s">
        <v>192</v>
      </c>
      <c r="F6" s="47">
        <v>70</v>
      </c>
      <c r="G6" s="47">
        <v>1150</v>
      </c>
      <c r="H6" s="47" t="s">
        <v>193</v>
      </c>
    </row>
    <row r="7" spans="3:21">
      <c r="C7" s="47">
        <v>1004</v>
      </c>
      <c r="D7" s="47" t="s">
        <v>67</v>
      </c>
      <c r="E7" s="47" t="s">
        <v>196</v>
      </c>
      <c r="F7" s="47">
        <v>90</v>
      </c>
      <c r="G7" s="47">
        <v>450</v>
      </c>
      <c r="H7" s="47" t="s">
        <v>197</v>
      </c>
      <c r="J7">
        <v>3</v>
      </c>
      <c r="K7" s="37" t="s">
        <v>201</v>
      </c>
      <c r="R7">
        <f>SUMIF(H3:H18,H4,F3:F18)</f>
        <v>320</v>
      </c>
      <c r="U7">
        <f>SUMIF(H4:H18,H4,F4:F18)</f>
        <v>320</v>
      </c>
    </row>
    <row r="8" spans="3:21">
      <c r="C8" s="47">
        <v>1005</v>
      </c>
      <c r="D8" s="47" t="s">
        <v>63</v>
      </c>
      <c r="E8" s="47" t="s">
        <v>194</v>
      </c>
      <c r="F8" s="47">
        <v>40</v>
      </c>
      <c r="G8" s="47">
        <v>850</v>
      </c>
      <c r="H8" s="47" t="s">
        <v>195</v>
      </c>
    </row>
    <row r="9" spans="3:21">
      <c r="C9" s="47">
        <v>1006</v>
      </c>
      <c r="D9" s="47" t="s">
        <v>66</v>
      </c>
      <c r="E9" s="47" t="s">
        <v>192</v>
      </c>
      <c r="F9" s="47">
        <v>65</v>
      </c>
      <c r="G9" s="47">
        <v>1250</v>
      </c>
      <c r="H9" s="47" t="s">
        <v>193</v>
      </c>
      <c r="J9">
        <v>4</v>
      </c>
      <c r="K9" s="37" t="s">
        <v>202</v>
      </c>
      <c r="R9">
        <f>SUMIF(E3:E18,E7,F3:F18)</f>
        <v>320</v>
      </c>
      <c r="U9">
        <f>SUMIF(E4:E18,E7,F4:F18)</f>
        <v>320</v>
      </c>
    </row>
    <row r="10" spans="3:21">
      <c r="C10" s="47">
        <v>1007</v>
      </c>
      <c r="D10" s="47" t="s">
        <v>65</v>
      </c>
      <c r="E10" s="47" t="s">
        <v>196</v>
      </c>
      <c r="F10" s="47">
        <v>100</v>
      </c>
      <c r="G10" s="47">
        <v>420</v>
      </c>
      <c r="H10" s="47" t="s">
        <v>197</v>
      </c>
    </row>
    <row r="11" spans="3:21">
      <c r="C11" s="47">
        <v>1008</v>
      </c>
      <c r="D11" s="47" t="s">
        <v>67</v>
      </c>
      <c r="E11" s="47" t="s">
        <v>194</v>
      </c>
      <c r="F11" s="47">
        <v>25</v>
      </c>
      <c r="G11" s="47">
        <v>780</v>
      </c>
      <c r="H11" s="47" t="s">
        <v>195</v>
      </c>
      <c r="J11">
        <v>5</v>
      </c>
      <c r="K11" s="37" t="s">
        <v>203</v>
      </c>
      <c r="R11">
        <f>SUMIF(D3:D18,D6,F3:F18)</f>
        <v>190</v>
      </c>
      <c r="U11">
        <f>SUMIF(D4:D18,D6,F4:F18)</f>
        <v>190</v>
      </c>
    </row>
    <row r="12" spans="3:21">
      <c r="C12" s="47">
        <v>1009</v>
      </c>
      <c r="D12" s="47" t="s">
        <v>63</v>
      </c>
      <c r="E12" s="47" t="s">
        <v>192</v>
      </c>
      <c r="F12" s="47">
        <v>80</v>
      </c>
      <c r="G12" s="47">
        <v>1100</v>
      </c>
      <c r="H12" s="47" t="s">
        <v>193</v>
      </c>
    </row>
    <row r="13" spans="3:21">
      <c r="C13" s="47">
        <v>1010</v>
      </c>
      <c r="D13" s="47" t="s">
        <v>65</v>
      </c>
      <c r="E13" s="47" t="s">
        <v>196</v>
      </c>
      <c r="F13" s="47">
        <v>60</v>
      </c>
      <c r="G13" s="47">
        <v>500</v>
      </c>
      <c r="H13" s="47" t="s">
        <v>197</v>
      </c>
      <c r="J13" s="55">
        <v>6</v>
      </c>
      <c r="K13" s="56" t="s">
        <v>204</v>
      </c>
      <c r="L13" s="55"/>
      <c r="M13" s="55"/>
      <c r="N13" s="55"/>
      <c r="O13" s="55"/>
      <c r="P13" s="55"/>
      <c r="Q13" s="55"/>
    </row>
    <row r="14" spans="3:21">
      <c r="C14" s="47">
        <v>1011</v>
      </c>
      <c r="D14" s="47" t="s">
        <v>66</v>
      </c>
      <c r="E14" s="47" t="s">
        <v>194</v>
      </c>
      <c r="F14" s="47">
        <v>35</v>
      </c>
      <c r="G14" s="47">
        <v>870</v>
      </c>
      <c r="H14" s="47" t="s">
        <v>195</v>
      </c>
      <c r="J14" s="55"/>
      <c r="K14" s="55"/>
      <c r="L14" s="55"/>
      <c r="M14" s="55"/>
      <c r="N14" s="55"/>
      <c r="O14" s="55"/>
      <c r="P14" s="55"/>
      <c r="Q14" s="55"/>
    </row>
    <row r="15" spans="3:21">
      <c r="C15" s="47">
        <v>1012</v>
      </c>
      <c r="D15" s="47" t="s">
        <v>67</v>
      </c>
      <c r="E15" s="47" t="s">
        <v>192</v>
      </c>
      <c r="F15" s="47">
        <v>55</v>
      </c>
      <c r="G15" s="47">
        <v>1180</v>
      </c>
      <c r="H15" s="47" t="s">
        <v>193</v>
      </c>
      <c r="J15" s="55">
        <v>7</v>
      </c>
      <c r="K15" s="56" t="s">
        <v>205</v>
      </c>
      <c r="L15" s="55"/>
      <c r="M15" s="55"/>
      <c r="N15" s="55"/>
      <c r="O15" s="55"/>
      <c r="P15" s="55"/>
      <c r="Q15" s="55"/>
    </row>
    <row r="16" spans="3:21">
      <c r="C16" s="47">
        <v>1013</v>
      </c>
      <c r="D16" s="47" t="s">
        <v>65</v>
      </c>
      <c r="E16" s="47" t="s">
        <v>194</v>
      </c>
      <c r="F16" s="47">
        <v>45</v>
      </c>
      <c r="G16" s="47">
        <v>820</v>
      </c>
      <c r="H16" s="47" t="s">
        <v>195</v>
      </c>
      <c r="J16" s="55"/>
      <c r="K16" s="55"/>
      <c r="L16" s="55"/>
      <c r="M16" s="55"/>
      <c r="N16" s="55"/>
      <c r="O16" s="55"/>
      <c r="P16" s="55"/>
      <c r="Q16" s="55"/>
    </row>
    <row r="17" spans="3:21">
      <c r="C17" s="47">
        <v>1014</v>
      </c>
      <c r="D17" s="47" t="s">
        <v>63</v>
      </c>
      <c r="E17" s="47" t="s">
        <v>196</v>
      </c>
      <c r="F17" s="47">
        <v>70</v>
      </c>
      <c r="G17" s="47">
        <v>470</v>
      </c>
      <c r="H17" s="47" t="s">
        <v>197</v>
      </c>
      <c r="J17" s="55">
        <v>8</v>
      </c>
      <c r="K17" s="56" t="s">
        <v>206</v>
      </c>
      <c r="L17" s="55"/>
      <c r="M17" s="55"/>
      <c r="N17" s="55"/>
      <c r="O17" s="55"/>
      <c r="P17" s="55"/>
      <c r="Q17" s="55"/>
    </row>
    <row r="18" spans="3:21">
      <c r="C18" s="47">
        <v>1015</v>
      </c>
      <c r="D18" s="47" t="s">
        <v>66</v>
      </c>
      <c r="E18" s="47" t="s">
        <v>194</v>
      </c>
      <c r="F18" s="47">
        <v>20</v>
      </c>
      <c r="G18" s="47">
        <v>860</v>
      </c>
      <c r="H18" s="47" t="s">
        <v>195</v>
      </c>
    </row>
    <row r="19" spans="3:21">
      <c r="J19">
        <v>9</v>
      </c>
      <c r="K19" s="37" t="s">
        <v>207</v>
      </c>
      <c r="R19">
        <f>SUMIF(H3:H18,H7,F3:F18)</f>
        <v>320</v>
      </c>
      <c r="U19">
        <f>SUMIF(H4:H18,H7,F4:F18)</f>
        <v>320</v>
      </c>
    </row>
    <row r="21" spans="3:21">
      <c r="J21">
        <v>10</v>
      </c>
      <c r="K21" s="37" t="s">
        <v>208</v>
      </c>
      <c r="R21">
        <f>SUMIF(E3:E18,E4,F3:F18)</f>
        <v>320</v>
      </c>
      <c r="U21">
        <f>SUMIF(E4:E18,E4,F4:F18)</f>
        <v>320</v>
      </c>
    </row>
    <row r="23" spans="3:21">
      <c r="J23" s="55">
        <v>11</v>
      </c>
      <c r="K23" s="56" t="s">
        <v>209</v>
      </c>
      <c r="L23" s="55"/>
      <c r="M23" s="55"/>
      <c r="N23" s="55"/>
      <c r="O23" s="55"/>
      <c r="P23" s="55"/>
      <c r="Q23" s="55"/>
    </row>
    <row r="25" spans="3:21">
      <c r="J25">
        <v>12</v>
      </c>
      <c r="K25" s="37" t="s">
        <v>210</v>
      </c>
      <c r="R25">
        <f>SUMIF(E3:E18,E17,F3:F18)</f>
        <v>320</v>
      </c>
      <c r="U25">
        <f>SUMIF(E4:E18,E7,F4:F18)</f>
        <v>320</v>
      </c>
    </row>
    <row r="27" spans="3:21">
      <c r="J27">
        <v>13</v>
      </c>
      <c r="K27" s="37" t="s">
        <v>211</v>
      </c>
      <c r="S27">
        <f>SUMIF(G3:G18,"&gt;1000",F3:F18)</f>
        <v>320</v>
      </c>
      <c r="U27">
        <f>SUMIF(G4:G18,I4,F4:F18)</f>
        <v>320</v>
      </c>
    </row>
    <row r="29" spans="3:21">
      <c r="J29" s="55">
        <v>14</v>
      </c>
      <c r="K29" s="56" t="s">
        <v>212</v>
      </c>
      <c r="L29" s="55"/>
      <c r="M29" s="55"/>
      <c r="N29" s="55"/>
      <c r="O29" s="55"/>
      <c r="P29" s="55"/>
    </row>
    <row r="31" spans="3:21">
      <c r="J31">
        <v>15</v>
      </c>
      <c r="K31" s="37" t="s">
        <v>213</v>
      </c>
      <c r="U31">
        <f>SUM(F4:F18)</f>
        <v>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478F-1418-4FA5-9EA2-16A2565CF97F}">
  <sheetPr codeName="Sheet17"/>
  <dimension ref="A1"/>
  <sheetViews>
    <sheetView workbookViewId="0">
      <selection activeCell="P9" sqref="P9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D2C2-39D0-41F0-84E3-8109BB21155E}">
  <dimension ref="B1:T11"/>
  <sheetViews>
    <sheetView workbookViewId="0">
      <selection activeCell="H5" sqref="H5"/>
    </sheetView>
  </sheetViews>
  <sheetFormatPr defaultRowHeight="14.4"/>
  <sheetData>
    <row r="1" spans="2:20" ht="21">
      <c r="C1" s="49" t="s">
        <v>232</v>
      </c>
    </row>
    <row r="3" spans="2:20" ht="28.8">
      <c r="B3" s="46" t="s">
        <v>214</v>
      </c>
      <c r="C3" s="46" t="s">
        <v>215</v>
      </c>
      <c r="D3" s="46" t="s">
        <v>216</v>
      </c>
      <c r="E3" s="46" t="s">
        <v>217</v>
      </c>
      <c r="F3" s="46" t="s">
        <v>218</v>
      </c>
      <c r="G3" s="46" t="s">
        <v>191</v>
      </c>
      <c r="H3" s="1"/>
      <c r="I3">
        <v>1</v>
      </c>
      <c r="J3" s="91" t="s">
        <v>237</v>
      </c>
      <c r="K3" s="91"/>
      <c r="L3" s="91"/>
      <c r="M3" s="91"/>
      <c r="N3" s="91"/>
      <c r="O3" s="91"/>
      <c r="P3" s="91"/>
      <c r="Q3" s="91"/>
      <c r="S3">
        <f>SUMIFS(E4:E10,C4:C10,C4,D4:D10,D5)</f>
        <v>100</v>
      </c>
      <c r="T3" s="38"/>
    </row>
    <row r="4" spans="2:20" ht="28.8">
      <c r="B4" s="47" t="s">
        <v>219</v>
      </c>
      <c r="C4" s="47" t="s">
        <v>192</v>
      </c>
      <c r="D4" s="47" t="s">
        <v>220</v>
      </c>
      <c r="E4" s="47">
        <v>120</v>
      </c>
      <c r="F4" s="47">
        <v>1500</v>
      </c>
      <c r="G4" s="47" t="s">
        <v>221</v>
      </c>
      <c r="H4" s="61" t="s">
        <v>337</v>
      </c>
    </row>
    <row r="5" spans="2:20" ht="28.8">
      <c r="B5" s="47" t="s">
        <v>222</v>
      </c>
      <c r="C5" s="47" t="s">
        <v>194</v>
      </c>
      <c r="D5" s="47" t="s">
        <v>223</v>
      </c>
      <c r="E5" s="47">
        <v>80</v>
      </c>
      <c r="F5" s="47">
        <v>2200</v>
      </c>
      <c r="G5" s="47" t="s">
        <v>195</v>
      </c>
      <c r="H5" s="45"/>
      <c r="I5">
        <v>2</v>
      </c>
      <c r="J5" s="91" t="s">
        <v>238</v>
      </c>
      <c r="K5" s="91"/>
      <c r="L5" s="91"/>
      <c r="M5" s="91"/>
      <c r="N5" s="91"/>
      <c r="O5" s="91"/>
      <c r="P5" s="91"/>
      <c r="Q5" s="91"/>
      <c r="S5">
        <f>SUMIFS(E4:E10,G4:G10,G4,D4:D10,D4)</f>
        <v>120</v>
      </c>
      <c r="T5" s="38"/>
    </row>
    <row r="6" spans="2:20" ht="28.8">
      <c r="B6" s="47" t="s">
        <v>224</v>
      </c>
      <c r="C6" s="47" t="s">
        <v>225</v>
      </c>
      <c r="D6" s="47" t="s">
        <v>220</v>
      </c>
      <c r="E6" s="47">
        <v>200</v>
      </c>
      <c r="F6" s="47">
        <v>50</v>
      </c>
      <c r="G6" s="47" t="s">
        <v>226</v>
      </c>
      <c r="H6" s="45"/>
    </row>
    <row r="7" spans="2:20" ht="28.8">
      <c r="B7" s="47" t="s">
        <v>227</v>
      </c>
      <c r="C7" s="47" t="s">
        <v>192</v>
      </c>
      <c r="D7" s="47" t="s">
        <v>228</v>
      </c>
      <c r="E7" s="47">
        <v>60</v>
      </c>
      <c r="F7" s="47">
        <v>1400</v>
      </c>
      <c r="G7" s="47" t="s">
        <v>221</v>
      </c>
      <c r="H7" s="45"/>
      <c r="I7">
        <v>3</v>
      </c>
      <c r="J7" s="91" t="s">
        <v>239</v>
      </c>
      <c r="K7" s="91"/>
      <c r="L7" s="91"/>
      <c r="M7" s="91"/>
      <c r="N7" s="91"/>
      <c r="O7" s="91"/>
      <c r="P7" s="91"/>
      <c r="Q7" s="91"/>
      <c r="R7" s="91"/>
      <c r="S7" s="91"/>
      <c r="T7" s="38">
        <f>SUMIFS(E4:E10,C4:C10,C5,D4:D10,D5)</f>
        <v>80</v>
      </c>
    </row>
    <row r="8" spans="2:20" ht="28.8">
      <c r="B8" s="47" t="s">
        <v>229</v>
      </c>
      <c r="C8" s="47" t="s">
        <v>194</v>
      </c>
      <c r="D8" s="47" t="s">
        <v>220</v>
      </c>
      <c r="E8" s="47">
        <v>40</v>
      </c>
      <c r="F8" s="47">
        <v>2100</v>
      </c>
      <c r="G8" s="47" t="s">
        <v>195</v>
      </c>
      <c r="H8" s="45"/>
    </row>
    <row r="9" spans="2:20" ht="28.8">
      <c r="B9" s="47" t="s">
        <v>230</v>
      </c>
      <c r="C9" s="47" t="s">
        <v>225</v>
      </c>
      <c r="D9" s="47" t="s">
        <v>223</v>
      </c>
      <c r="E9" s="47">
        <v>150</v>
      </c>
      <c r="F9" s="47">
        <v>60</v>
      </c>
      <c r="G9" s="47" t="s">
        <v>226</v>
      </c>
      <c r="H9" s="45"/>
      <c r="I9">
        <v>4</v>
      </c>
      <c r="J9" s="91" t="s">
        <v>240</v>
      </c>
      <c r="K9" s="91"/>
      <c r="L9" s="91"/>
      <c r="M9" s="91"/>
      <c r="N9" s="91"/>
      <c r="O9" s="91"/>
      <c r="P9" s="91"/>
      <c r="Q9" s="91"/>
      <c r="R9" s="91"/>
      <c r="S9" s="91"/>
      <c r="T9" s="38">
        <f>SUMIFS(E4:E10,G4:G10,G6,D4:D10,D5)</f>
        <v>150</v>
      </c>
    </row>
    <row r="10" spans="2:20" ht="28.8">
      <c r="B10" s="47" t="s">
        <v>231</v>
      </c>
      <c r="C10" s="47" t="s">
        <v>192</v>
      </c>
      <c r="D10" s="47" t="s">
        <v>223</v>
      </c>
      <c r="E10" s="47">
        <v>100</v>
      </c>
      <c r="F10" s="47">
        <v>1600</v>
      </c>
      <c r="G10" s="47" t="s">
        <v>221</v>
      </c>
      <c r="H10" s="45"/>
    </row>
    <row r="11" spans="2:20">
      <c r="I11">
        <v>5</v>
      </c>
      <c r="J11" s="91" t="s">
        <v>241</v>
      </c>
      <c r="K11" s="91"/>
      <c r="L11" s="91"/>
      <c r="M11" s="91"/>
      <c r="N11" s="91"/>
      <c r="O11" s="91"/>
      <c r="P11" s="91"/>
      <c r="Q11" s="91"/>
      <c r="T11" s="38">
        <f>SUMIFS(E4:E10,C4:C10,C6,F4:F10,H4)</f>
        <v>350</v>
      </c>
    </row>
  </sheetData>
  <mergeCells count="5">
    <mergeCell ref="J11:Q11"/>
    <mergeCell ref="J3:Q3"/>
    <mergeCell ref="J5:Q5"/>
    <mergeCell ref="J7:S7"/>
    <mergeCell ref="J9:S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EB79-6DDF-4834-A25F-E4851CFF9C24}">
  <dimension ref="C1:U31"/>
  <sheetViews>
    <sheetView topLeftCell="B3" workbookViewId="0">
      <selection activeCell="U22" sqref="U22"/>
    </sheetView>
  </sheetViews>
  <sheetFormatPr defaultRowHeight="14.4"/>
  <cols>
    <col min="3" max="7" width="11" customWidth="1"/>
    <col min="8" max="9" width="12.88671875" customWidth="1"/>
    <col min="10" max="10" width="3.88671875" customWidth="1"/>
  </cols>
  <sheetData>
    <row r="1" spans="3:21" ht="21">
      <c r="C1" s="31" t="s">
        <v>198</v>
      </c>
    </row>
    <row r="3" spans="3:21" ht="28.8">
      <c r="C3" s="46" t="s">
        <v>188</v>
      </c>
      <c r="D3" s="46" t="s">
        <v>61</v>
      </c>
      <c r="E3" s="46" t="s">
        <v>189</v>
      </c>
      <c r="F3" s="46" t="s">
        <v>114</v>
      </c>
      <c r="G3" s="46" t="s">
        <v>190</v>
      </c>
      <c r="H3" s="46" t="s">
        <v>191</v>
      </c>
      <c r="I3" s="52"/>
      <c r="J3">
        <v>1</v>
      </c>
      <c r="K3" s="2" t="s">
        <v>242</v>
      </c>
      <c r="L3" s="37"/>
    </row>
    <row r="4" spans="3:21">
      <c r="C4" s="47">
        <v>1001</v>
      </c>
      <c r="D4" s="47" t="s">
        <v>63</v>
      </c>
      <c r="E4" s="47" t="s">
        <v>192</v>
      </c>
      <c r="F4" s="47">
        <v>50</v>
      </c>
      <c r="G4" s="47">
        <v>1200</v>
      </c>
      <c r="H4" s="47" t="s">
        <v>193</v>
      </c>
      <c r="I4" s="61" t="s">
        <v>336</v>
      </c>
      <c r="Q4">
        <f>SUMIFS(F4:F18,E4:E18,E4,D4:D18,D6)</f>
        <v>135</v>
      </c>
    </row>
    <row r="5" spans="3:21">
      <c r="C5" s="47">
        <v>1002</v>
      </c>
      <c r="D5" s="47" t="s">
        <v>65</v>
      </c>
      <c r="E5" s="47" t="s">
        <v>194</v>
      </c>
      <c r="F5" s="47">
        <v>30</v>
      </c>
      <c r="G5" s="47">
        <v>800</v>
      </c>
      <c r="H5" s="47" t="s">
        <v>195</v>
      </c>
      <c r="I5" s="53"/>
      <c r="J5">
        <v>2</v>
      </c>
      <c r="K5" s="2" t="s">
        <v>243</v>
      </c>
      <c r="L5" s="37"/>
      <c r="Q5">
        <f>SUMIFS(F4:F18,E4:E18,E7,H4:H18,H7)</f>
        <v>320</v>
      </c>
    </row>
    <row r="6" spans="3:21">
      <c r="C6" s="47">
        <v>1003</v>
      </c>
      <c r="D6" s="47" t="s">
        <v>66</v>
      </c>
      <c r="E6" s="47" t="s">
        <v>192</v>
      </c>
      <c r="F6" s="47">
        <v>70</v>
      </c>
      <c r="G6" s="47">
        <v>1150</v>
      </c>
      <c r="H6" s="47" t="s">
        <v>193</v>
      </c>
      <c r="I6" s="61" t="s">
        <v>338</v>
      </c>
    </row>
    <row r="7" spans="3:21">
      <c r="C7" s="47">
        <v>1004</v>
      </c>
      <c r="D7" s="47" t="s">
        <v>67</v>
      </c>
      <c r="E7" s="47" t="s">
        <v>196</v>
      </c>
      <c r="F7" s="47">
        <v>90</v>
      </c>
      <c r="G7" s="47">
        <v>450</v>
      </c>
      <c r="H7" s="47" t="s">
        <v>197</v>
      </c>
      <c r="I7" s="52"/>
      <c r="J7">
        <v>3</v>
      </c>
      <c r="K7" s="2" t="s">
        <v>244</v>
      </c>
      <c r="L7" s="37"/>
      <c r="R7">
        <f>SUMIFS(F4:F18,E4:E18,E5,D4:D18,D5)</f>
        <v>75</v>
      </c>
    </row>
    <row r="8" spans="3:21" ht="28.8">
      <c r="C8" s="47">
        <v>1005</v>
      </c>
      <c r="D8" s="47" t="s">
        <v>63</v>
      </c>
      <c r="E8" s="47" t="s">
        <v>194</v>
      </c>
      <c r="F8" s="47">
        <v>40</v>
      </c>
      <c r="G8" s="47">
        <v>850</v>
      </c>
      <c r="H8" s="47" t="s">
        <v>195</v>
      </c>
      <c r="I8" s="61" t="s">
        <v>339</v>
      </c>
    </row>
    <row r="9" spans="3:21">
      <c r="C9" s="47">
        <v>1006</v>
      </c>
      <c r="D9" s="47" t="s">
        <v>66</v>
      </c>
      <c r="E9" s="47" t="s">
        <v>192</v>
      </c>
      <c r="F9" s="47">
        <v>65</v>
      </c>
      <c r="G9" s="47">
        <v>1250</v>
      </c>
      <c r="H9" s="47" t="s">
        <v>193</v>
      </c>
      <c r="I9" s="52"/>
      <c r="J9">
        <v>4</v>
      </c>
      <c r="K9" s="2" t="s">
        <v>245</v>
      </c>
      <c r="L9" s="37"/>
      <c r="U9">
        <f>SUMIFS(F4:F18,H4:H18,H4,G4:G18,I4)</f>
        <v>320</v>
      </c>
    </row>
    <row r="10" spans="3:21">
      <c r="C10" s="47">
        <v>1007</v>
      </c>
      <c r="D10" s="47" t="s">
        <v>65</v>
      </c>
      <c r="E10" s="47" t="s">
        <v>196</v>
      </c>
      <c r="F10" s="47">
        <v>100</v>
      </c>
      <c r="G10" s="47">
        <v>420</v>
      </c>
      <c r="H10" s="47" t="s">
        <v>197</v>
      </c>
      <c r="I10" s="61" t="s">
        <v>336</v>
      </c>
    </row>
    <row r="11" spans="3:21">
      <c r="C11" s="47">
        <v>1008</v>
      </c>
      <c r="D11" s="47" t="s">
        <v>67</v>
      </c>
      <c r="E11" s="47" t="s">
        <v>194</v>
      </c>
      <c r="F11" s="47">
        <v>25</v>
      </c>
      <c r="G11" s="47">
        <v>780</v>
      </c>
      <c r="H11" s="47" t="s">
        <v>195</v>
      </c>
      <c r="I11" s="52"/>
      <c r="J11">
        <v>5</v>
      </c>
      <c r="K11" s="2" t="s">
        <v>246</v>
      </c>
      <c r="L11" s="37"/>
      <c r="U11">
        <f>SUMIFS(F4:F18,E4:E18,E4,D4:D18,I6)</f>
        <v>265</v>
      </c>
    </row>
    <row r="12" spans="3:21">
      <c r="C12" s="47">
        <v>1009</v>
      </c>
      <c r="D12" s="47" t="s">
        <v>63</v>
      </c>
      <c r="E12" s="47" t="s">
        <v>192</v>
      </c>
      <c r="F12" s="47">
        <v>80</v>
      </c>
      <c r="G12" s="47">
        <v>1100</v>
      </c>
      <c r="H12" s="47" t="s">
        <v>193</v>
      </c>
      <c r="I12" s="61" t="s">
        <v>340</v>
      </c>
    </row>
    <row r="13" spans="3:21">
      <c r="C13" s="47">
        <v>1010</v>
      </c>
      <c r="D13" s="47" t="s">
        <v>65</v>
      </c>
      <c r="E13" s="47" t="s">
        <v>196</v>
      </c>
      <c r="F13" s="47">
        <v>60</v>
      </c>
      <c r="G13" s="47">
        <v>500</v>
      </c>
      <c r="H13" s="47" t="s">
        <v>197</v>
      </c>
      <c r="I13" s="52"/>
      <c r="J13">
        <v>6</v>
      </c>
      <c r="K13" s="2" t="s">
        <v>247</v>
      </c>
      <c r="L13" s="37"/>
      <c r="U13">
        <f>SUMIFS(F4:F18,D4:D18,D4,H4:H18,I8)</f>
        <v>200</v>
      </c>
    </row>
    <row r="14" spans="3:21">
      <c r="C14" s="47">
        <v>1011</v>
      </c>
      <c r="D14" s="47" t="s">
        <v>66</v>
      </c>
      <c r="E14" s="47" t="s">
        <v>194</v>
      </c>
      <c r="F14" s="47">
        <v>35</v>
      </c>
      <c r="G14" s="47">
        <v>870</v>
      </c>
      <c r="H14" s="47" t="s">
        <v>195</v>
      </c>
      <c r="I14" s="45"/>
    </row>
    <row r="15" spans="3:21">
      <c r="C15" s="47">
        <v>1012</v>
      </c>
      <c r="D15" s="47" t="s">
        <v>67</v>
      </c>
      <c r="E15" s="47" t="s">
        <v>192</v>
      </c>
      <c r="F15" s="47">
        <v>55</v>
      </c>
      <c r="G15" s="47">
        <v>1180</v>
      </c>
      <c r="H15" s="47" t="s">
        <v>193</v>
      </c>
      <c r="I15" s="52"/>
      <c r="J15">
        <v>7</v>
      </c>
      <c r="K15" s="2" t="s">
        <v>248</v>
      </c>
      <c r="L15" s="37"/>
      <c r="U15">
        <f>SUMIFS(F4:F18,D4:D18,D6,G4:G18,I10)</f>
        <v>135</v>
      </c>
    </row>
    <row r="16" spans="3:21">
      <c r="C16" s="47">
        <v>1013</v>
      </c>
      <c r="D16" s="47" t="s">
        <v>65</v>
      </c>
      <c r="E16" s="47" t="s">
        <v>194</v>
      </c>
      <c r="F16" s="47">
        <v>45</v>
      </c>
      <c r="G16" s="47">
        <v>820</v>
      </c>
      <c r="H16" s="47" t="s">
        <v>195</v>
      </c>
      <c r="I16" s="45"/>
    </row>
    <row r="17" spans="3:21">
      <c r="C17" s="47">
        <v>1014</v>
      </c>
      <c r="D17" s="47" t="s">
        <v>63</v>
      </c>
      <c r="E17" s="47" t="s">
        <v>196</v>
      </c>
      <c r="F17" s="47">
        <v>70</v>
      </c>
      <c r="G17" s="47">
        <v>470</v>
      </c>
      <c r="H17" s="47" t="s">
        <v>197</v>
      </c>
      <c r="I17" s="52"/>
      <c r="J17">
        <v>8</v>
      </c>
      <c r="K17" s="2" t="s">
        <v>249</v>
      </c>
      <c r="L17" s="37"/>
      <c r="S17">
        <f>SUMIFS(F4:F18,E4:E18,E5,H4:H18,H5,D4:D18,D7)+SUMIFS(F4:F18,E4:E18,E5,H4:H18,H5,D4:D18,D10)</f>
        <v>100</v>
      </c>
    </row>
    <row r="18" spans="3:21">
      <c r="C18" s="47">
        <v>1015</v>
      </c>
      <c r="D18" s="47" t="s">
        <v>66</v>
      </c>
      <c r="E18" s="47" t="s">
        <v>194</v>
      </c>
      <c r="F18" s="47">
        <v>20</v>
      </c>
      <c r="G18" s="47">
        <v>860</v>
      </c>
      <c r="H18" s="47" t="s">
        <v>195</v>
      </c>
      <c r="I18" s="45"/>
    </row>
    <row r="19" spans="3:21">
      <c r="I19" s="52"/>
      <c r="J19">
        <v>9</v>
      </c>
      <c r="K19" s="2" t="s">
        <v>250</v>
      </c>
      <c r="L19" s="37"/>
      <c r="S19">
        <f>SUMIFS(F4:F18,E4:E18,E10,G4:G18,I12)</f>
        <v>260</v>
      </c>
    </row>
    <row r="21" spans="3:21">
      <c r="I21" s="52"/>
      <c r="J21">
        <v>10</v>
      </c>
      <c r="K21" s="2" t="s">
        <v>251</v>
      </c>
      <c r="L21" s="37"/>
      <c r="U21">
        <f>SUMIFS(F4:F18,E4:E18,E4,H4:H18,H4,D4:D18,D8)+SUMIFS(F4:F18,E4:E18,E4,H4:H18,H4,D4:D18,D9)</f>
        <v>265</v>
      </c>
    </row>
    <row r="23" spans="3:21">
      <c r="L23" s="37"/>
    </row>
    <row r="25" spans="3:21">
      <c r="L25" s="37"/>
    </row>
    <row r="27" spans="3:21">
      <c r="L27" s="37"/>
    </row>
    <row r="29" spans="3:21">
      <c r="L29" s="37"/>
    </row>
    <row r="31" spans="3:21">
      <c r="L31" s="3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D97B-C9F8-4131-A283-43EBDFF77FE8}">
  <sheetPr codeName="Sheet18"/>
  <dimension ref="A1"/>
  <sheetViews>
    <sheetView workbookViewId="0">
      <selection activeCell="P5" sqref="P5"/>
    </sheetView>
  </sheetViews>
  <sheetFormatPr defaultRowHeight="14.4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F3A7-C4E7-4AFB-B880-5B4C5D346495}">
  <sheetPr codeName="Sheet19"/>
  <dimension ref="A1"/>
  <sheetViews>
    <sheetView showGridLines="0" topLeftCell="B1" workbookViewId="0">
      <selection activeCell="P5" sqref="P5"/>
    </sheetView>
  </sheetViews>
  <sheetFormatPr defaultRowHeight="14.4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A57A-1D84-4C16-A08D-B20C6D0D14FF}">
  <dimension ref="B1:P14"/>
  <sheetViews>
    <sheetView topLeftCell="A2" workbookViewId="0">
      <selection activeCell="P13" sqref="P13"/>
    </sheetView>
  </sheetViews>
  <sheetFormatPr defaultRowHeight="14.4"/>
  <cols>
    <col min="2" max="3" width="12.44140625" customWidth="1"/>
    <col min="4" max="4" width="14.33203125" customWidth="1"/>
    <col min="5" max="6" width="12.44140625" customWidth="1"/>
  </cols>
  <sheetData>
    <row r="1" spans="2:16" ht="23.4">
      <c r="B1" s="92" t="s">
        <v>271</v>
      </c>
      <c r="C1" s="92"/>
      <c r="D1" s="92"/>
      <c r="E1" s="37" t="s">
        <v>272</v>
      </c>
    </row>
    <row r="3" spans="2:16" ht="30" customHeight="1">
      <c r="B3" s="1" t="s">
        <v>252</v>
      </c>
      <c r="C3" s="1" t="s">
        <v>51</v>
      </c>
      <c r="D3" s="1" t="s">
        <v>253</v>
      </c>
      <c r="E3" s="1" t="s">
        <v>55</v>
      </c>
      <c r="F3" s="1" t="s">
        <v>191</v>
      </c>
      <c r="H3" s="54" t="s">
        <v>280</v>
      </c>
    </row>
    <row r="4" spans="2:16">
      <c r="B4" s="45" t="s">
        <v>254</v>
      </c>
      <c r="C4" s="45" t="s">
        <v>54</v>
      </c>
      <c r="D4" s="45" t="s">
        <v>192</v>
      </c>
      <c r="E4" s="45" t="s">
        <v>255</v>
      </c>
      <c r="F4" s="45" t="s">
        <v>256</v>
      </c>
      <c r="G4" s="93" t="s">
        <v>341</v>
      </c>
      <c r="H4" s="32" t="s">
        <v>273</v>
      </c>
      <c r="P4">
        <f>COUNTIF(E4:E13,G4)</f>
        <v>6</v>
      </c>
    </row>
    <row r="5" spans="2:16" ht="30" customHeight="1">
      <c r="B5" s="45" t="s">
        <v>257</v>
      </c>
      <c r="C5" s="45" t="s">
        <v>52</v>
      </c>
      <c r="D5" s="45" t="s">
        <v>225</v>
      </c>
      <c r="E5" s="45" t="s">
        <v>258</v>
      </c>
      <c r="F5" s="45" t="s">
        <v>259</v>
      </c>
      <c r="H5" s="51" t="s">
        <v>274</v>
      </c>
    </row>
    <row r="6" spans="2:16">
      <c r="B6" s="45" t="s">
        <v>260</v>
      </c>
      <c r="C6" s="45" t="s">
        <v>53</v>
      </c>
      <c r="D6" s="45" t="s">
        <v>194</v>
      </c>
      <c r="E6" s="45" t="s">
        <v>255</v>
      </c>
      <c r="F6" s="45" t="s">
        <v>195</v>
      </c>
      <c r="H6" s="32" t="s">
        <v>275</v>
      </c>
      <c r="P6">
        <f>COUNTIF(C4:C13,C5)</f>
        <v>3</v>
      </c>
    </row>
    <row r="7" spans="2:16" ht="30" customHeight="1">
      <c r="B7" s="45" t="s">
        <v>261</v>
      </c>
      <c r="C7" s="45" t="s">
        <v>54</v>
      </c>
      <c r="D7" s="45" t="s">
        <v>192</v>
      </c>
      <c r="E7" s="45" t="s">
        <v>262</v>
      </c>
      <c r="F7" s="45" t="s">
        <v>256</v>
      </c>
      <c r="H7" s="32" t="s">
        <v>276</v>
      </c>
      <c r="P7">
        <f>COUNTIF(D4:D13,D4)</f>
        <v>4</v>
      </c>
    </row>
    <row r="8" spans="2:16" ht="30" customHeight="1">
      <c r="B8" s="45" t="s">
        <v>263</v>
      </c>
      <c r="C8" s="45" t="s">
        <v>52</v>
      </c>
      <c r="D8" s="45" t="s">
        <v>225</v>
      </c>
      <c r="E8" s="45" t="s">
        <v>255</v>
      </c>
      <c r="F8" s="45" t="s">
        <v>259</v>
      </c>
    </row>
    <row r="9" spans="2:16" ht="18">
      <c r="B9" s="45" t="s">
        <v>264</v>
      </c>
      <c r="C9" s="45" t="s">
        <v>265</v>
      </c>
      <c r="D9" s="45" t="s">
        <v>194</v>
      </c>
      <c r="E9" s="45" t="s">
        <v>258</v>
      </c>
      <c r="F9" s="45" t="s">
        <v>195</v>
      </c>
      <c r="H9" s="54" t="s">
        <v>281</v>
      </c>
    </row>
    <row r="10" spans="2:16" ht="30" customHeight="1">
      <c r="B10" s="45" t="s">
        <v>266</v>
      </c>
      <c r="C10" s="45" t="s">
        <v>54</v>
      </c>
      <c r="D10" s="45" t="s">
        <v>194</v>
      </c>
      <c r="E10" s="45" t="s">
        <v>255</v>
      </c>
      <c r="F10" s="45" t="s">
        <v>267</v>
      </c>
      <c r="H10" s="32" t="s">
        <v>277</v>
      </c>
      <c r="P10">
        <f>COUNTIFS(C4:C13,C4,E4:E13,E6)</f>
        <v>2</v>
      </c>
    </row>
    <row r="11" spans="2:16">
      <c r="B11" s="45" t="s">
        <v>268</v>
      </c>
      <c r="C11" s="45" t="s">
        <v>53</v>
      </c>
      <c r="D11" s="45" t="s">
        <v>192</v>
      </c>
      <c r="E11" s="45" t="s">
        <v>255</v>
      </c>
      <c r="F11" s="45" t="s">
        <v>256</v>
      </c>
      <c r="H11" s="51" t="s">
        <v>278</v>
      </c>
    </row>
    <row r="12" spans="2:16" ht="30" customHeight="1">
      <c r="B12" s="45" t="s">
        <v>269</v>
      </c>
      <c r="C12" s="45" t="s">
        <v>265</v>
      </c>
      <c r="D12" s="45" t="s">
        <v>225</v>
      </c>
      <c r="E12" s="45" t="s">
        <v>262</v>
      </c>
      <c r="F12" s="45" t="s">
        <v>259</v>
      </c>
      <c r="H12" s="32" t="s">
        <v>279</v>
      </c>
      <c r="P12">
        <f>COUNTIFS(D4:D13,D5,F4:F13,F5)</f>
        <v>3</v>
      </c>
    </row>
    <row r="13" spans="2:16" ht="30" customHeight="1">
      <c r="B13" s="45" t="s">
        <v>270</v>
      </c>
      <c r="C13" s="45" t="s">
        <v>52</v>
      </c>
      <c r="D13" s="45" t="s">
        <v>192</v>
      </c>
      <c r="E13" s="45" t="s">
        <v>255</v>
      </c>
      <c r="F13" s="45" t="s">
        <v>256</v>
      </c>
    </row>
    <row r="14" spans="2:16">
      <c r="E14">
        <f>COUNTA(E4:E13)</f>
        <v>10</v>
      </c>
    </row>
  </sheetData>
  <mergeCells count="1">
    <mergeCell ref="B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CD19-3EEC-48E4-A7F8-6B192013296A}">
  <dimension ref="B1:Y19"/>
  <sheetViews>
    <sheetView tabSelected="1" topLeftCell="D1" workbookViewId="0">
      <selection activeCell="Y18" sqref="Y18"/>
    </sheetView>
  </sheetViews>
  <sheetFormatPr defaultRowHeight="14.4"/>
  <cols>
    <col min="4" max="4" width="13.109375" customWidth="1"/>
  </cols>
  <sheetData>
    <row r="1" spans="2:23" ht="25.8">
      <c r="B1" s="50" t="s">
        <v>314</v>
      </c>
      <c r="H1" s="2" t="s">
        <v>315</v>
      </c>
    </row>
    <row r="3" spans="2:23" ht="28.8">
      <c r="B3" s="1" t="s">
        <v>282</v>
      </c>
      <c r="C3" s="1" t="s">
        <v>283</v>
      </c>
      <c r="D3" s="1" t="s">
        <v>216</v>
      </c>
      <c r="E3" s="1" t="s">
        <v>55</v>
      </c>
      <c r="F3" s="1" t="s">
        <v>284</v>
      </c>
      <c r="G3" s="1" t="s">
        <v>285</v>
      </c>
      <c r="H3" s="1" t="s">
        <v>286</v>
      </c>
      <c r="J3" s="54" t="s">
        <v>331</v>
      </c>
      <c r="Q3" s="54" t="s">
        <v>332</v>
      </c>
    </row>
    <row r="4" spans="2:23">
      <c r="B4" s="45" t="s">
        <v>287</v>
      </c>
      <c r="C4" s="45" t="s">
        <v>288</v>
      </c>
      <c r="D4" s="45" t="s">
        <v>289</v>
      </c>
      <c r="E4" s="45" t="s">
        <v>56</v>
      </c>
      <c r="F4" s="45" t="s">
        <v>290</v>
      </c>
      <c r="G4" s="45" t="s">
        <v>291</v>
      </c>
      <c r="H4" s="45" t="s">
        <v>292</v>
      </c>
      <c r="J4" s="30"/>
      <c r="Q4" s="30"/>
    </row>
    <row r="5" spans="2:23">
      <c r="B5" s="45" t="s">
        <v>293</v>
      </c>
      <c r="C5" s="45" t="s">
        <v>294</v>
      </c>
      <c r="D5" s="45" t="s">
        <v>295</v>
      </c>
      <c r="E5" s="45" t="s">
        <v>296</v>
      </c>
      <c r="F5" s="45" t="s">
        <v>297</v>
      </c>
      <c r="G5" s="45" t="s">
        <v>298</v>
      </c>
      <c r="H5" s="45" t="s">
        <v>299</v>
      </c>
      <c r="J5" s="32" t="s">
        <v>316</v>
      </c>
      <c r="P5">
        <f>COUNTIF(E4:E13,E4)</f>
        <v>6</v>
      </c>
      <c r="Q5" s="32" t="s">
        <v>324</v>
      </c>
    </row>
    <row r="6" spans="2:23">
      <c r="B6" s="45" t="s">
        <v>300</v>
      </c>
      <c r="C6" s="45" t="s">
        <v>301</v>
      </c>
      <c r="D6" s="45" t="s">
        <v>289</v>
      </c>
      <c r="E6" s="45" t="s">
        <v>56</v>
      </c>
      <c r="F6" s="45" t="s">
        <v>297</v>
      </c>
      <c r="G6" s="45" t="s">
        <v>298</v>
      </c>
      <c r="H6" s="45" t="s">
        <v>302</v>
      </c>
      <c r="J6" s="30"/>
      <c r="Q6" s="30"/>
      <c r="V6">
        <f>COUNTIFS(E4:E13,E4,C4:C13,C4,D4:D13,D4)</f>
        <v>3</v>
      </c>
    </row>
    <row r="7" spans="2:23">
      <c r="B7" s="45" t="s">
        <v>303</v>
      </c>
      <c r="C7" s="45" t="s">
        <v>288</v>
      </c>
      <c r="D7" s="45" t="s">
        <v>304</v>
      </c>
      <c r="E7" s="45" t="s">
        <v>56</v>
      </c>
      <c r="F7" s="45" t="s">
        <v>290</v>
      </c>
      <c r="G7" s="45" t="s">
        <v>291</v>
      </c>
      <c r="H7" s="45" t="s">
        <v>292</v>
      </c>
      <c r="J7" s="32" t="s">
        <v>317</v>
      </c>
      <c r="P7">
        <f>COUNTIF(D4:D13,D4)</f>
        <v>4</v>
      </c>
      <c r="Q7" s="32" t="s">
        <v>325</v>
      </c>
    </row>
    <row r="8" spans="2:23">
      <c r="B8" s="45" t="s">
        <v>305</v>
      </c>
      <c r="C8" s="45" t="s">
        <v>294</v>
      </c>
      <c r="D8" s="45" t="s">
        <v>295</v>
      </c>
      <c r="E8" s="45" t="s">
        <v>306</v>
      </c>
      <c r="F8" s="45" t="s">
        <v>307</v>
      </c>
      <c r="G8" s="45" t="s">
        <v>298</v>
      </c>
      <c r="H8" s="45" t="s">
        <v>308</v>
      </c>
      <c r="J8" s="30"/>
      <c r="Q8" s="30"/>
      <c r="V8">
        <f>COUNTIFS(C4:C13,C6,D4:D13,D7,E4:E13,E5)</f>
        <v>1</v>
      </c>
    </row>
    <row r="9" spans="2:23">
      <c r="B9" s="45" t="s">
        <v>309</v>
      </c>
      <c r="C9" s="45" t="s">
        <v>288</v>
      </c>
      <c r="D9" s="45" t="s">
        <v>289</v>
      </c>
      <c r="E9" s="45" t="s">
        <v>56</v>
      </c>
      <c r="F9" s="45" t="s">
        <v>290</v>
      </c>
      <c r="G9" s="45" t="s">
        <v>291</v>
      </c>
      <c r="H9" s="45" t="s">
        <v>292</v>
      </c>
      <c r="J9" s="32" t="s">
        <v>318</v>
      </c>
      <c r="P9">
        <f>COUNTIF(C4:C13,C4)</f>
        <v>4</v>
      </c>
      <c r="Q9" s="32" t="s">
        <v>326</v>
      </c>
    </row>
    <row r="10" spans="2:23">
      <c r="B10" s="45" t="s">
        <v>310</v>
      </c>
      <c r="C10" s="45" t="s">
        <v>301</v>
      </c>
      <c r="D10" s="45" t="s">
        <v>304</v>
      </c>
      <c r="E10" s="45" t="s">
        <v>296</v>
      </c>
      <c r="F10" s="45" t="s">
        <v>297</v>
      </c>
      <c r="G10" s="45" t="s">
        <v>291</v>
      </c>
      <c r="H10" s="45" t="s">
        <v>302</v>
      </c>
      <c r="J10" s="30"/>
      <c r="Q10" s="30"/>
      <c r="V10">
        <f>COUNTIFS(H4:H13,H4,G4:G13,G4)</f>
        <v>3</v>
      </c>
    </row>
    <row r="11" spans="2:23">
      <c r="B11" s="45" t="s">
        <v>311</v>
      </c>
      <c r="C11" s="45" t="s">
        <v>294</v>
      </c>
      <c r="D11" s="45" t="s">
        <v>295</v>
      </c>
      <c r="E11" s="45" t="s">
        <v>56</v>
      </c>
      <c r="F11" s="45" t="s">
        <v>290</v>
      </c>
      <c r="G11" s="45" t="s">
        <v>298</v>
      </c>
      <c r="H11" s="45" t="s">
        <v>299</v>
      </c>
      <c r="J11" s="32" t="s">
        <v>319</v>
      </c>
      <c r="P11">
        <f>COUNTIF(G4:G13,G4)</f>
        <v>5</v>
      </c>
      <c r="Q11" s="32" t="s">
        <v>327</v>
      </c>
      <c r="W11">
        <f>COUNTIFS(F4:F13,F4,D4:D13,D5)</f>
        <v>1</v>
      </c>
    </row>
    <row r="12" spans="2:23">
      <c r="B12" s="45" t="s">
        <v>312</v>
      </c>
      <c r="C12" s="45" t="s">
        <v>288</v>
      </c>
      <c r="D12" s="45" t="s">
        <v>289</v>
      </c>
      <c r="E12" s="45" t="s">
        <v>56</v>
      </c>
      <c r="F12" s="45" t="s">
        <v>290</v>
      </c>
      <c r="G12" s="45" t="s">
        <v>298</v>
      </c>
      <c r="H12" s="45" t="s">
        <v>292</v>
      </c>
      <c r="J12" s="30"/>
      <c r="Q12" s="30"/>
    </row>
    <row r="13" spans="2:23">
      <c r="B13" s="45" t="s">
        <v>313</v>
      </c>
      <c r="C13" s="45" t="s">
        <v>301</v>
      </c>
      <c r="D13" s="45" t="s">
        <v>304</v>
      </c>
      <c r="E13" s="45" t="s">
        <v>306</v>
      </c>
      <c r="F13" s="45" t="s">
        <v>307</v>
      </c>
      <c r="G13" s="45" t="s">
        <v>291</v>
      </c>
      <c r="H13" s="45" t="s">
        <v>308</v>
      </c>
      <c r="J13" s="32" t="s">
        <v>320</v>
      </c>
      <c r="P13">
        <f>COUNTIF(F4:F13,F4)</f>
        <v>5</v>
      </c>
      <c r="Q13" s="32" t="s">
        <v>328</v>
      </c>
      <c r="W13">
        <f>COUNTIFS(F4:F13,F5,E4:E13,E4)</f>
        <v>1</v>
      </c>
    </row>
    <row r="14" spans="2:23">
      <c r="J14" s="30"/>
      <c r="Q14" s="30"/>
    </row>
    <row r="15" spans="2:23">
      <c r="J15" s="32" t="s">
        <v>321</v>
      </c>
      <c r="P15">
        <f>COUNTIF(H4:H13,H4)</f>
        <v>4</v>
      </c>
      <c r="Q15" s="32" t="s">
        <v>329</v>
      </c>
      <c r="W15">
        <f>COUNTIFS(D4:D13,D4,G4:G13,G5)</f>
        <v>2</v>
      </c>
    </row>
    <row r="16" spans="2:23">
      <c r="J16" s="30"/>
      <c r="Q16" s="30"/>
    </row>
    <row r="17" spans="10:25">
      <c r="J17" s="32" t="s">
        <v>322</v>
      </c>
      <c r="P17">
        <f>COUNTIF(E4:E13,E8)</f>
        <v>2</v>
      </c>
      <c r="Q17" s="32" t="s">
        <v>330</v>
      </c>
      <c r="Y17">
        <f>COUNTIFS(C4:C13,C5,D4:D13,D5,E4:E13,E4)</f>
        <v>1</v>
      </c>
    </row>
    <row r="18" spans="10:25">
      <c r="J18" s="30"/>
    </row>
    <row r="19" spans="10:25">
      <c r="J19" s="32" t="s">
        <v>323</v>
      </c>
      <c r="P19">
        <f>COUNTIF(C4:C13,C8)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Chapter3</vt:lpstr>
      <vt:lpstr>FUNCTIONS</vt:lpstr>
      <vt:lpstr>MATHEMATICAL FUNCTION</vt:lpstr>
      <vt:lpstr>DESCRIPTION</vt:lpstr>
      <vt:lpstr>SUM,AVERAGE,ROUND,MAX,MIN</vt:lpstr>
      <vt:lpstr>Transportation_Cost_Analysis</vt:lpstr>
      <vt:lpstr>DESCRIPTIONS</vt:lpstr>
      <vt:lpstr>COUNT,COUNTA</vt:lpstr>
      <vt:lpstr>Product_Pricing&amp;Discount_Regist</vt:lpstr>
      <vt:lpstr>EXCERCISE-1 </vt:lpstr>
      <vt:lpstr>Description_Sumif</vt:lpstr>
      <vt:lpstr>SUMIF</vt:lpstr>
      <vt:lpstr>EXCERCISE-2</vt:lpstr>
      <vt:lpstr>Description_Sumifs</vt:lpstr>
      <vt:lpstr>SUMIFS</vt:lpstr>
      <vt:lpstr>EXCERCISE-3</vt:lpstr>
      <vt:lpstr>Description_Countif</vt:lpstr>
      <vt:lpstr>Description_Countifs</vt:lpstr>
      <vt:lpstr>COUNTIF&amp;COUNTIFS</vt:lpstr>
      <vt:lpstr>EXCERCISE-4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Shimiriya P</cp:lastModifiedBy>
  <dcterms:created xsi:type="dcterms:W3CDTF">2024-12-31T07:12:00Z</dcterms:created>
  <dcterms:modified xsi:type="dcterms:W3CDTF">2026-07-02T04:58:11Z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D5A8685AAC454AF38F3011A208AD1A1C_11</vt:lpwstr>
  </property>
  <property fmtid="{D5CDD505-2E9C-101B-9397-08002B2CF9AE}" pid="3" name="KSOProductBuildVer">
    <vt:lpwstr>1033-12.2.0.18639</vt:lpwstr>
  </property>
</Properties>
</file>