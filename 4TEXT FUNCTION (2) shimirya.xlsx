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80336B7-65DC-4217-876C-108172EF3FAD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INTRO" sheetId="1" r:id="rId1"/>
    <sheet name="DESCRIPTION" sheetId="2" r:id="rId2"/>
    <sheet name="LEFT,RIGHT,MID,UPPER,LOWER" sheetId="18" r:id="rId3"/>
    <sheet name="DESCRIPTION2" sheetId="3" r:id="rId4"/>
    <sheet name="PROPER,TRIM,LEN,FIND" sheetId="19" r:id="rId5"/>
    <sheet name="DESCRIPTION3" sheetId="5" r:id="rId6"/>
    <sheet name="CONCATE,HYPERLINK" sheetId="20" r:id="rId7"/>
    <sheet name="Excercise" sheetId="8" r:id="rId8"/>
    <sheet name="Excercise1" sheetId="9" r:id="rId9"/>
    <sheet name="Sheet1" sheetId="2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8" l="1"/>
  <c r="H16" i="9"/>
  <c r="H17" i="9"/>
  <c r="H18" i="9"/>
  <c r="H19" i="9"/>
  <c r="H15" i="9"/>
  <c r="M16" i="9"/>
  <c r="M17" i="9"/>
  <c r="M18" i="9"/>
  <c r="M19" i="9"/>
  <c r="M15" i="9"/>
  <c r="L16" i="9"/>
  <c r="L17" i="9"/>
  <c r="L18" i="9"/>
  <c r="L19" i="9"/>
  <c r="L15" i="9"/>
  <c r="K16" i="9"/>
  <c r="K17" i="9"/>
  <c r="K18" i="9"/>
  <c r="K19" i="9"/>
  <c r="K15" i="9"/>
  <c r="J16" i="9"/>
  <c r="J17" i="9"/>
  <c r="J18" i="9"/>
  <c r="J19" i="9"/>
  <c r="J20" i="9"/>
  <c r="J15" i="9"/>
  <c r="I4" i="9"/>
  <c r="I5" i="9"/>
  <c r="I6" i="9"/>
  <c r="I7" i="9"/>
  <c r="I3" i="9"/>
  <c r="H3" i="9"/>
  <c r="G4" i="9"/>
  <c r="G5" i="9"/>
  <c r="G6" i="9"/>
  <c r="G7" i="9"/>
  <c r="G3" i="9"/>
  <c r="H4" i="9"/>
  <c r="H5" i="9"/>
  <c r="H6" i="9"/>
  <c r="H7" i="9"/>
  <c r="O9" i="8"/>
  <c r="G14" i="8"/>
  <c r="G13" i="8"/>
  <c r="G12" i="8"/>
  <c r="G11" i="8"/>
  <c r="G10" i="8"/>
  <c r="G9" i="8"/>
  <c r="L4" i="20"/>
  <c r="J5" i="20"/>
  <c r="J6" i="20"/>
  <c r="J7" i="20"/>
  <c r="J8" i="20"/>
  <c r="J4" i="20"/>
  <c r="I5" i="20"/>
  <c r="I6" i="20"/>
  <c r="I7" i="20"/>
  <c r="I8" i="20"/>
  <c r="I4" i="20"/>
  <c r="I4" i="19"/>
  <c r="I3" i="19"/>
  <c r="F11" i="19"/>
  <c r="F12" i="19"/>
  <c r="F13" i="19"/>
  <c r="F10" i="19"/>
  <c r="E11" i="19"/>
  <c r="E12" i="19"/>
  <c r="E13" i="19"/>
  <c r="E10" i="19"/>
  <c r="K5" i="18"/>
  <c r="K6" i="18"/>
  <c r="K7" i="18"/>
  <c r="K8" i="18"/>
  <c r="K9" i="18"/>
  <c r="K4" i="18"/>
  <c r="J5" i="18"/>
  <c r="J6" i="18"/>
  <c r="J7" i="18"/>
  <c r="J8" i="18"/>
  <c r="J9" i="18"/>
  <c r="J4" i="18"/>
  <c r="I5" i="18"/>
  <c r="I6" i="18"/>
  <c r="I7" i="18"/>
  <c r="I8" i="18"/>
  <c r="I9" i="18"/>
  <c r="I4" i="18"/>
  <c r="H5" i="18"/>
  <c r="H6" i="18"/>
  <c r="H7" i="18"/>
  <c r="H8" i="18"/>
  <c r="H9" i="18"/>
  <c r="H4" i="18"/>
  <c r="G5" i="18"/>
  <c r="G6" i="18"/>
  <c r="G7" i="18"/>
  <c r="G8" i="18"/>
  <c r="G9" i="18"/>
  <c r="G4" i="18"/>
</calcChain>
</file>

<file path=xl/sharedStrings.xml><?xml version="1.0" encoding="utf-8"?>
<sst xmlns="http://schemas.openxmlformats.org/spreadsheetml/2006/main" count="232" uniqueCount="226">
  <si>
    <t xml:space="preserve">                                                                          TEXT FUNCTIONS</t>
  </si>
  <si>
    <t>1. RIGHT()</t>
  </si>
  <si>
    <t>2. LEFT()</t>
  </si>
  <si>
    <t>3.MID()</t>
  </si>
  <si>
    <t>4.UPPER</t>
  </si>
  <si>
    <t>EXCERCISE</t>
  </si>
  <si>
    <t>Name</t>
  </si>
  <si>
    <t>Employee ID</t>
  </si>
  <si>
    <t>Product Code</t>
  </si>
  <si>
    <t>Order Number</t>
  </si>
  <si>
    <t>Text</t>
  </si>
  <si>
    <t>URL</t>
  </si>
  <si>
    <t>Text2</t>
  </si>
  <si>
    <t>John Smith</t>
  </si>
  <si>
    <t>EMP12345</t>
  </si>
  <si>
    <t>ABC12345</t>
  </si>
  <si>
    <t>ORD20231234</t>
  </si>
  <si>
    <t>Hello  World</t>
  </si>
  <si>
    <t>https://example.com</t>
  </si>
  <si>
    <t>apple</t>
  </si>
  <si>
    <t>Sarah Johnson</t>
  </si>
  <si>
    <t>EMP98765</t>
  </si>
  <si>
    <t>DEF98765</t>
  </si>
  <si>
    <t>ORD20239876</t>
  </si>
  <si>
    <t xml:space="preserve">  Trim Function</t>
  </si>
  <si>
    <t>https://google.com</t>
  </si>
  <si>
    <t>Orange</t>
  </si>
  <si>
    <t>Michael Williams</t>
  </si>
  <si>
    <t>EMP54321</t>
  </si>
  <si>
    <t>GHI54321</t>
  </si>
  <si>
    <t>ORD20235432</t>
  </si>
  <si>
    <t>Extra     Spaces</t>
  </si>
  <si>
    <t>https://microsoft.com</t>
  </si>
  <si>
    <t>Username</t>
  </si>
  <si>
    <t>Email</t>
  </si>
  <si>
    <t>Access Code</t>
  </si>
  <si>
    <t>Access code key word</t>
  </si>
  <si>
    <t>year</t>
  </si>
  <si>
    <t>jack.lynch@example.com</t>
  </si>
  <si>
    <t>kelly.thomas@example.com</t>
  </si>
  <si>
    <t>molly.poole@example.com</t>
  </si>
  <si>
    <t>alejandro.mendez@example.com</t>
  </si>
  <si>
    <t>dfigueroa</t>
  </si>
  <si>
    <t>destiny.figueroa@example.com</t>
  </si>
  <si>
    <t>Extract the Dept ID  from the "Access Code" column.</t>
  </si>
  <si>
    <t>LEFT(G3,FIND("_",G3)-1)</t>
  </si>
  <si>
    <t>Extract the Access code key word from the "Access Colum" column.</t>
  </si>
  <si>
    <t>RIGHT(G3, LEN(G3) - FIND("!", G3))</t>
  </si>
  <si>
    <r>
      <t>Extract the year (</t>
    </r>
    <r>
      <rPr>
        <sz val="10"/>
        <color theme="1"/>
        <rFont val="Arial Unicode MS"/>
        <family val="2"/>
      </rPr>
      <t>2024</t>
    </r>
    <r>
      <rPr>
        <sz val="11"/>
        <color theme="1"/>
        <rFont val="Calibri"/>
        <family val="2"/>
        <scheme val="minor"/>
      </rPr>
      <t>) from the "Access Code" column.</t>
    </r>
  </si>
  <si>
    <t>MID(G3,FIND("_",G3)+1,4)</t>
  </si>
  <si>
    <t>Doe</t>
  </si>
  <si>
    <t>Alice</t>
  </si>
  <si>
    <t>Johnson</t>
  </si>
  <si>
    <t>Shipment ID</t>
  </si>
  <si>
    <t>Port Code</t>
  </si>
  <si>
    <t>Container Type</t>
  </si>
  <si>
    <t>Description</t>
  </si>
  <si>
    <t>Destination</t>
  </si>
  <si>
    <t>IMP-2024-01</t>
  </si>
  <si>
    <t>INMUMBAI</t>
  </si>
  <si>
    <t>20FT</t>
  </si>
  <si>
    <t>plastic goods</t>
  </si>
  <si>
    <t>new york</t>
  </si>
  <si>
    <t>EXP-2023-89</t>
  </si>
  <si>
    <t>INCOKCHI</t>
  </si>
  <si>
    <t>40FT</t>
  </si>
  <si>
    <t>electrical equipment</t>
  </si>
  <si>
    <t>DUBAI</t>
  </si>
  <si>
    <t>IMP-2024-23</t>
  </si>
  <si>
    <t>INSURAT</t>
  </si>
  <si>
    <t>textile rolls</t>
  </si>
  <si>
    <t>london</t>
  </si>
  <si>
    <t>EXP-2023-45</t>
  </si>
  <si>
    <t>INCHENNAI</t>
  </si>
  <si>
    <t>machinery parts</t>
  </si>
  <si>
    <t>sydney</t>
  </si>
  <si>
    <t>EXP-2024-11</t>
  </si>
  <si>
    <t>INDELHI</t>
  </si>
  <si>
    <t>automotive accessories</t>
  </si>
  <si>
    <t>HAMBURG</t>
  </si>
  <si>
    <t>IMP-2023-07</t>
  </si>
  <si>
    <t>INTUTICOR</t>
  </si>
  <si>
    <t>ceramic items</t>
  </si>
  <si>
    <t>melbourne</t>
  </si>
  <si>
    <t>1. Shipment ID</t>
  </si>
  <si>
    <r>
      <t xml:space="preserve">Format: </t>
    </r>
    <r>
      <rPr>
        <sz val="10"/>
        <color theme="1"/>
        <rFont val="Arial Unicode MS"/>
        <family val="2"/>
      </rPr>
      <t>IMP-2024-01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EXP-2023-45</t>
    </r>
  </si>
  <si>
    <r>
      <t>IMP</t>
    </r>
    <r>
      <rPr>
        <sz val="11"/>
        <color theme="1"/>
        <rFont val="Calibri"/>
        <family val="2"/>
        <scheme val="minor"/>
      </rPr>
      <t xml:space="preserve"> = Import shipment</t>
    </r>
  </si>
  <si>
    <r>
      <t>EXP</t>
    </r>
    <r>
      <rPr>
        <sz val="11"/>
        <color theme="1"/>
        <rFont val="Calibri"/>
        <family val="2"/>
        <scheme val="minor"/>
      </rPr>
      <t xml:space="preserve"> = Export shipment</t>
    </r>
  </si>
  <si>
    <r>
      <t>2024</t>
    </r>
    <r>
      <rPr>
        <sz val="11"/>
        <color theme="1"/>
        <rFont val="Calibri"/>
        <family val="2"/>
        <scheme val="minor"/>
      </rPr>
      <t xml:space="preserve"> = Year</t>
    </r>
  </si>
  <si>
    <r>
      <t>01/45</t>
    </r>
    <r>
      <rPr>
        <sz val="11"/>
        <color theme="1"/>
        <rFont val="Calibri"/>
        <family val="2"/>
        <scheme val="minor"/>
      </rPr>
      <t xml:space="preserve"> = Serial number of the shipment</t>
    </r>
  </si>
  <si>
    <t>2. Port Code</t>
  </si>
  <si>
    <r>
      <t xml:space="preserve">Example: </t>
    </r>
    <r>
      <rPr>
        <sz val="10"/>
        <color theme="1"/>
        <rFont val="Arial Unicode MS"/>
        <family val="2"/>
      </rPr>
      <t>INMUMBAI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INCOKCHI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INDELHI</t>
    </r>
  </si>
  <si>
    <r>
      <t xml:space="preserve">Format: </t>
    </r>
    <r>
      <rPr>
        <sz val="10"/>
        <color theme="1"/>
        <rFont val="Arial Unicode MS"/>
        <family val="2"/>
      </rPr>
      <t>IN</t>
    </r>
    <r>
      <rPr>
        <sz val="11"/>
        <color theme="1"/>
        <rFont val="Calibri"/>
        <family val="2"/>
        <scheme val="minor"/>
      </rPr>
      <t xml:space="preserve"> + port city (e.g., </t>
    </r>
    <r>
      <rPr>
        <sz val="10"/>
        <color theme="1"/>
        <rFont val="Arial Unicode MS"/>
        <family val="2"/>
      </rPr>
      <t>INMUMBAI</t>
    </r>
    <r>
      <rPr>
        <sz val="11"/>
        <color theme="1"/>
        <rFont val="Calibri"/>
        <family val="2"/>
        <scheme val="minor"/>
      </rPr>
      <t xml:space="preserve"> = India - Mumbai)</t>
    </r>
  </si>
  <si>
    <r>
      <t xml:space="preserve">Indicates the </t>
    </r>
    <r>
      <rPr>
        <b/>
        <sz val="11"/>
        <color theme="1"/>
        <rFont val="Calibri"/>
        <family val="2"/>
        <scheme val="minor"/>
      </rPr>
      <t>port of origin</t>
    </r>
    <r>
      <rPr>
        <sz val="11"/>
        <color theme="1"/>
        <rFont val="Calibri"/>
        <family val="2"/>
        <scheme val="minor"/>
      </rPr>
      <t xml:space="preserve"> in India</t>
    </r>
  </si>
  <si>
    <t>3. Container Type</t>
  </si>
  <si>
    <r>
      <t xml:space="preserve">Example: </t>
    </r>
    <r>
      <rPr>
        <sz val="10"/>
        <color theme="1"/>
        <rFont val="Arial Unicode MS"/>
        <family val="2"/>
      </rPr>
      <t>20FT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40FT</t>
    </r>
  </si>
  <si>
    <r>
      <t xml:space="preserve">Indicates the </t>
    </r>
    <r>
      <rPr>
        <b/>
        <sz val="11"/>
        <color theme="1"/>
        <rFont val="Calibri"/>
        <family val="2"/>
        <scheme val="minor"/>
      </rPr>
      <t>size of the shipping container</t>
    </r>
    <r>
      <rPr>
        <sz val="11"/>
        <color theme="1"/>
        <rFont val="Calibri"/>
        <family val="2"/>
        <scheme val="minor"/>
      </rPr>
      <t>:</t>
    </r>
  </si>
  <si>
    <r>
      <t>20FT</t>
    </r>
    <r>
      <rPr>
        <sz val="11"/>
        <color theme="1"/>
        <rFont val="Calibri"/>
        <family val="2"/>
        <scheme val="minor"/>
      </rPr>
      <t xml:space="preserve"> = 20-foot container</t>
    </r>
  </si>
  <si>
    <r>
      <t>40FT</t>
    </r>
    <r>
      <rPr>
        <sz val="11"/>
        <color theme="1"/>
        <rFont val="Calibri"/>
        <family val="2"/>
        <scheme val="minor"/>
      </rPr>
      <t xml:space="preserve"> = 40-foot container</t>
    </r>
  </si>
  <si>
    <t>4. Description</t>
  </si>
  <si>
    <r>
      <t xml:space="preserve">Examples: </t>
    </r>
    <r>
      <rPr>
        <sz val="10"/>
        <color theme="1"/>
        <rFont val="Arial Unicode MS"/>
        <family val="2"/>
      </rPr>
      <t>plastic goods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textile rolls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machinery parts</t>
    </r>
  </si>
  <si>
    <r>
      <t xml:space="preserve">Describes the </t>
    </r>
    <r>
      <rPr>
        <b/>
        <sz val="11"/>
        <color theme="1"/>
        <rFont val="Calibri"/>
        <family val="2"/>
        <scheme val="minor"/>
      </rPr>
      <t>type of goods</t>
    </r>
    <r>
      <rPr>
        <sz val="11"/>
        <color theme="1"/>
        <rFont val="Calibri"/>
        <family val="2"/>
        <scheme val="minor"/>
      </rPr>
      <t xml:space="preserve"> being imported or exported.</t>
    </r>
  </si>
  <si>
    <t>5. Destination</t>
  </si>
  <si>
    <r>
      <t xml:space="preserve">Examples: </t>
    </r>
    <r>
      <rPr>
        <sz val="10"/>
        <color theme="1"/>
        <rFont val="Arial Unicode MS"/>
        <family val="2"/>
      </rPr>
      <t>new york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DUBAI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melbourne</t>
    </r>
  </si>
  <si>
    <r>
      <t xml:space="preserve">Shows the </t>
    </r>
    <r>
      <rPr>
        <b/>
        <sz val="11"/>
        <color theme="1"/>
        <rFont val="Calibri"/>
        <family val="2"/>
        <scheme val="minor"/>
      </rPr>
      <t>city or port where the goods are being sent to or received from</t>
    </r>
  </si>
  <si>
    <r>
      <rPr>
        <u/>
        <sz val="16"/>
        <color theme="4" tint="0.39997558519241921"/>
        <rFont val="Calibri"/>
        <family val="2"/>
        <scheme val="minor"/>
      </rPr>
      <t>🔍</t>
    </r>
    <r>
      <rPr>
        <u/>
        <sz val="16"/>
        <color theme="1"/>
        <rFont val="Calibri"/>
        <family val="2"/>
        <scheme val="minor"/>
      </rPr>
      <t xml:space="preserve"> </t>
    </r>
    <r>
      <rPr>
        <b/>
        <u/>
        <sz val="16"/>
        <color theme="1"/>
        <rFont val="Calibri"/>
        <family val="2"/>
        <scheme val="minor"/>
      </rPr>
      <t>Column Explanations:</t>
    </r>
  </si>
  <si>
    <r>
      <rPr>
        <sz val="11"/>
        <color rgb="FFFF0000"/>
        <rFont val="Calibri"/>
        <family val="2"/>
        <scheme val="minor"/>
      </rPr>
      <t>📌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Used for tracking and identification of each shipment.</t>
    </r>
  </si>
  <si>
    <r>
      <rPr>
        <sz val="11"/>
        <color rgb="FFFF0000"/>
        <rFont val="Calibri"/>
        <family val="2"/>
        <scheme val="minor"/>
      </rPr>
      <t>📌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Used to identify from which Indian port the goods are shipped or received.</t>
    </r>
  </si>
  <si>
    <r>
      <rPr>
        <sz val="11"/>
        <color rgb="FFFF0000"/>
        <rFont val="Calibri"/>
        <family val="2"/>
        <scheme val="minor"/>
      </rPr>
      <t>📌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Used to manage space and transport costs.</t>
    </r>
  </si>
  <si>
    <r>
      <rPr>
        <sz val="11"/>
        <color rgb="FFFF0000"/>
        <rFont val="Calibri"/>
        <family val="2"/>
        <scheme val="minor"/>
      </rPr>
      <t>📌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Used for customs, documentation, and classification.</t>
    </r>
  </si>
  <si>
    <r>
      <rPr>
        <sz val="11"/>
        <color rgb="FFFF0000"/>
        <rFont val="Calibri"/>
        <family val="2"/>
        <scheme val="minor"/>
      </rPr>
      <t>📌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Important for planning routes, scheduling, and customs clearance.</t>
    </r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</si>
  <si>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Extract type of shipment (IMP/EXP) from Shipment ID</t>
    </r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</si>
  <si>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Extract serial no(Last Digits) from Shipment ID</t>
    </r>
  </si>
  <si>
    <t>shipment Type</t>
  </si>
  <si>
    <t>serial No.</t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</si>
  <si>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Extract year from Shipment ID (e.g., 2024 from "IMP-2024-01")</t>
    </r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</si>
  <si>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Convert destination name to uppercase and uppercase</t>
    </r>
  </si>
  <si>
    <t>Shipment Year</t>
  </si>
  <si>
    <t>Upper</t>
  </si>
  <si>
    <t>Lower</t>
  </si>
  <si>
    <t>Import/Export Log (June 2025)</t>
  </si>
  <si>
    <t>5.LOWER</t>
  </si>
  <si>
    <t>6.PROPER()</t>
  </si>
  <si>
    <t xml:space="preserve">7.TRIM FUNCTION
</t>
  </si>
  <si>
    <t>9.HYPER LINK</t>
  </si>
  <si>
    <t xml:space="preserve">10.CONCATE
</t>
  </si>
  <si>
    <t>8.LEN</t>
  </si>
  <si>
    <t>11.FIND</t>
  </si>
  <si>
    <t>Customer Interaction Log – June 2025</t>
  </si>
  <si>
    <t>Email Address</t>
  </si>
  <si>
    <t>Feedback Comment</t>
  </si>
  <si>
    <t>Support Ticket</t>
  </si>
  <si>
    <t>Profile Link</t>
  </si>
  <si>
    <t>john.doe@gmail.com</t>
  </si>
  <si>
    <t>CSTK1001</t>
  </si>
  <si>
    <t>www.example.com/johndoe</t>
  </si>
  <si>
    <t>MARY.ANN@YMAIL.COM</t>
  </si>
  <si>
    <t>CSTK1002</t>
  </si>
  <si>
    <t>www.example.com/maryann</t>
  </si>
  <si>
    <t>alice.j@gmail.com</t>
  </si>
  <si>
    <t>CSTK1003</t>
  </si>
  <si>
    <t>www.example.com/alicej</t>
  </si>
  <si>
    <t>rsmith@hotmail.com</t>
  </si>
  <si>
    <t>CSTK1004</t>
  </si>
  <si>
    <t>www.example.com/roberts</t>
  </si>
  <si>
    <t>preethi_nair@yahoo.in</t>
  </si>
  <si>
    <t>CSTK1005</t>
  </si>
  <si>
    <t>www.example.com/preethi</t>
  </si>
  <si>
    <t xml:space="preserve">  very helpful   and polite staff</t>
  </si>
  <si>
    <t xml:space="preserve">  great service   experience</t>
  </si>
  <si>
    <t>slow   response time</t>
  </si>
  <si>
    <t xml:space="preserve">   friendly support</t>
  </si>
  <si>
    <t xml:space="preserve">   excellent help !</t>
  </si>
  <si>
    <t>Create a friendly name for a clickable email ID  and Profile Link using the HYPERLINK function.</t>
  </si>
  <si>
    <t>FIND()</t>
  </si>
  <si>
    <t>LEN()</t>
  </si>
  <si>
    <t>Driver Name</t>
  </si>
  <si>
    <t>Location</t>
  </si>
  <si>
    <t>Item Description</t>
  </si>
  <si>
    <t>Remarks</t>
  </si>
  <si>
    <t>john mathew</t>
  </si>
  <si>
    <t>kochi</t>
  </si>
  <si>
    <t>fragile electronic items</t>
  </si>
  <si>
    <t>REENA JOSEPH</t>
  </si>
  <si>
    <t>chennai</t>
  </si>
  <si>
    <t>high value medical kits</t>
  </si>
  <si>
    <t>FaIzal Pk</t>
  </si>
  <si>
    <t>bangalore</t>
  </si>
  <si>
    <t>automotive parts</t>
  </si>
  <si>
    <t>anil kumar</t>
  </si>
  <si>
    <t>mumbai</t>
  </si>
  <si>
    <t>chemicals and paints</t>
  </si>
  <si>
    <t>MEENA K</t>
  </si>
  <si>
    <t>hyderabad</t>
  </si>
  <si>
    <t>spare machine parts</t>
  </si>
  <si>
    <t>warehouse #3, section B</t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</si>
  <si>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Fix Driver names to Proper.</t>
    </r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</si>
  <si>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Clean extra spaces from Remark.</t>
    </r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</si>
  <si>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Count characters in Shipment ID:</t>
    </r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</si>
  <si>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Find Posotion of "_" from Shipment ID</t>
    </r>
  </si>
  <si>
    <t>Cust_First_Name</t>
  </si>
  <si>
    <t>Cust_Last name</t>
  </si>
  <si>
    <t>Ann</t>
  </si>
  <si>
    <t>Smith</t>
  </si>
  <si>
    <t>Nair</t>
  </si>
  <si>
    <t xml:space="preserve">john </t>
  </si>
  <si>
    <t xml:space="preserve">MARY </t>
  </si>
  <si>
    <t xml:space="preserve">robert </t>
  </si>
  <si>
    <t>preethi</t>
  </si>
  <si>
    <t>Order ID</t>
  </si>
  <si>
    <t>Laptop_2024!Secure</t>
  </si>
  <si>
    <t>Product</t>
  </si>
  <si>
    <t>Covert Username to upper case.</t>
  </si>
  <si>
    <t>Convert Username to lower case</t>
  </si>
  <si>
    <t>use proper function in Username</t>
  </si>
  <si>
    <t xml:space="preserve">  jlynch</t>
  </si>
  <si>
    <t xml:space="preserve">  mpoole</t>
  </si>
  <si>
    <t xml:space="preserve"> amendez</t>
  </si>
  <si>
    <t xml:space="preserve">      kthomas</t>
  </si>
  <si>
    <t>Create a clickable link to send an email to the user.</t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</si>
  <si>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Extract the last 5 characters from the Employee ID(Extracted ID)</t>
    </r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</si>
  <si>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Extract the first 3 characters from the Product Code(Extracted Code)</t>
    </r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</si>
  <si>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Extract the year (4 characters starting from the 4th position) from the Order Number(Extracted Year)</t>
    </r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</si>
  <si>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Convert all names to uppercase(Uppercase Name)</t>
    </r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</si>
  <si>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Convert all names to proper case (capitalize the first letter of each word)(Proper Case Name)</t>
    </r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</si>
  <si>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Remove all extra spaces from the text(Trimmed Text)</t>
    </r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</si>
  <si>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Create a hyperlink for each URL with the specified text(Hyperlink)</t>
    </r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</si>
  <si>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Concatenate the name and extracted ID with a hyphen in between(Full Detail)</t>
    </r>
  </si>
  <si>
    <t>Table_2025!Trust</t>
  </si>
  <si>
    <t>Fan_2023!Money</t>
  </si>
  <si>
    <t>Tablet_2025!Code</t>
  </si>
  <si>
    <t>Cup_2021!Secure</t>
  </si>
  <si>
    <t>Use trim function in User name name.</t>
  </si>
  <si>
    <t>handle   with care</t>
  </si>
  <si>
    <t xml:space="preserve">  deliver before 10am</t>
  </si>
  <si>
    <t>urgent   delivery required</t>
  </si>
  <si>
    <t>keep  upright</t>
  </si>
  <si>
    <t>SHP_002</t>
  </si>
  <si>
    <t>SHP_003</t>
  </si>
  <si>
    <t>SHP_004</t>
  </si>
  <si>
    <t>SHP_005</t>
  </si>
  <si>
    <t>SH_P_001</t>
  </si>
  <si>
    <t>_</t>
  </si>
  <si>
    <t>shimiriya968@gmail.com</t>
  </si>
  <si>
    <t>shimiriya</t>
  </si>
  <si>
    <t>product name from the access code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</si>
</sst>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6"/>
      <color theme="4" tint="0.39997558519241921"/>
      <name val="Calibri"/>
      <family val="2"/>
      <scheme val="minor"/>
    </font>
    <font>
      <sz val="8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0" xfId="0" applyFill="1">
      <alignment vertical="center"/>
    </xf>
    <xf numFmtId="0" fontId="11" fillId="4" borderId="0" xfId="0" applyFont="1" applyFill="1">
      <alignment vertical="center"/>
    </xf>
    <xf numFmtId="0" fontId="12" fillId="5" borderId="2" xfId="0" applyFont="1" applyFill="1" applyBorder="1">
      <alignment vertical="center"/>
    </xf>
    <xf numFmtId="0" fontId="12" fillId="5" borderId="3" xfId="0" applyFont="1" applyFill="1" applyBorder="1">
      <alignment vertical="center"/>
    </xf>
    <xf numFmtId="0" fontId="12" fillId="5" borderId="0" xfId="0" applyFont="1" applyFill="1">
      <alignment vertical="center"/>
    </xf>
    <xf numFmtId="0" fontId="13" fillId="5" borderId="0" xfId="0" applyFont="1" applyFill="1">
      <alignment vertical="center"/>
    </xf>
    <xf numFmtId="0" fontId="12" fillId="5" borderId="3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9" fillId="0" borderId="0" xfId="1">
      <alignment vertical="center"/>
    </xf>
    <xf numFmtId="0" fontId="0" fillId="0" borderId="0" xfId="0" applyAlignme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/>
    <xf numFmtId="0" fontId="6" fillId="0" borderId="0" xfId="0" applyFo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20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indent="2"/>
    </xf>
    <xf numFmtId="0" fontId="23" fillId="0" borderId="0" xfId="0" applyFont="1">
      <alignment vertical="center"/>
    </xf>
    <xf numFmtId="0" fontId="17" fillId="0" borderId="0" xfId="0" applyFont="1">
      <alignment vertical="center"/>
    </xf>
    <xf numFmtId="0" fontId="5" fillId="6" borderId="1" xfId="0" applyFont="1" applyFill="1" applyBorder="1">
      <alignment vertical="center"/>
    </xf>
    <xf numFmtId="0" fontId="0" fillId="6" borderId="1" xfId="0" applyFill="1" applyBorder="1">
      <alignment vertical="center"/>
    </xf>
    <xf numFmtId="0" fontId="24" fillId="0" borderId="0" xfId="0" applyFont="1">
      <alignment vertical="center"/>
    </xf>
    <xf numFmtId="0" fontId="22" fillId="4" borderId="1" xfId="0" applyFont="1" applyFill="1" applyBorder="1">
      <alignment vertical="center"/>
    </xf>
    <xf numFmtId="0" fontId="21" fillId="4" borderId="1" xfId="0" applyFont="1" applyFill="1" applyBorder="1">
      <alignment vertical="center"/>
    </xf>
    <xf numFmtId="0" fontId="5" fillId="0" borderId="1" xfId="0" applyFont="1" applyBorder="1" applyAlignment="1">
      <alignment vertical="center" wrapText="1"/>
    </xf>
    <xf numFmtId="0" fontId="9" fillId="0" borderId="1" xfId="1" applyBorder="1" applyAlignment="1">
      <alignment vertical="center" wrapText="1"/>
    </xf>
    <xf numFmtId="0" fontId="9" fillId="0" borderId="1" xfId="1" applyNumberFormat="1" applyBorder="1" applyAlignment="1">
      <alignment vertical="center" wrapText="1"/>
    </xf>
    <xf numFmtId="0" fontId="9" fillId="0" borderId="0" xfId="1" applyNumberForma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0" fillId="4" borderId="0" xfId="0" applyFont="1" applyFill="1">
      <alignment vertical="center"/>
    </xf>
    <xf numFmtId="0" fontId="0" fillId="4" borderId="0" xfId="0" applyFill="1">
      <alignment vertical="center"/>
    </xf>
    <xf numFmtId="0" fontId="5" fillId="0" borderId="0" xfId="0" applyFont="1">
      <alignment vertical="center"/>
    </xf>
    <xf numFmtId="0" fontId="0" fillId="2" borderId="1" xfId="0" applyFill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5" fillId="2" borderId="1" xfId="0" applyFont="1" applyFill="1" applyBorder="1">
      <alignment vertical="center"/>
    </xf>
  </cellXfs>
  <cellStyles count="2">
    <cellStyle name="Hyperlink" xfId="1" builtinId="8"/>
    <cellStyle name="Normal" xfId="0" builtinId="0"/>
  </cellStyles>
  <dxfs count="24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171450</xdr:rowOff>
    </xdr:from>
    <xdr:to>
      <xdr:col>9</xdr:col>
      <xdr:colOff>475615</xdr:colOff>
      <xdr:row>20</xdr:row>
      <xdr:rowOff>173355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7175" y="171450"/>
          <a:ext cx="5704840" cy="381190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RIGHT()</a:t>
          </a:r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Description: Extracts a specified number of characters from the end (right) of a text string.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Syntax: =RIGHT(text, num_chars)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 =RIGHT("Excel Functions", 9)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Output: Functions</a:t>
          </a: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LEFT()</a:t>
          </a:r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Description: Extracts a specified number of characters from the beginning (left) of a text string.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Syntax: =LEFT(text, num_chars)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 =LEFT("Excel Functions", 5)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Output: Excel</a:t>
          </a: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600075</xdr:colOff>
      <xdr:row>0</xdr:row>
      <xdr:rowOff>171450</xdr:rowOff>
    </xdr:from>
    <xdr:to>
      <xdr:col>19</xdr:col>
      <xdr:colOff>208915</xdr:colOff>
      <xdr:row>20</xdr:row>
      <xdr:rowOff>173355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086475" y="171450"/>
          <a:ext cx="5704840" cy="381190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MID()</a:t>
          </a:r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Description: Extracts characters from the middle of a text string, starting at a specified position and continuing for a given number of characters.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Syntax: =MID(text, start_num, num_chars)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 =MID("Excel Functions", 7, 8)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Output: Function</a:t>
          </a: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UPPER()</a:t>
          </a:r>
          <a:r>
            <a:rPr lang="en-US" alt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&amp; LOWER</a:t>
          </a:r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Description: Converts all letters 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a text string to uppercase</a:t>
          </a:r>
          <a:r>
            <a:rPr lang="en-US" alt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lower case</a:t>
          </a:r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Syntax: =UPPER(text)</a:t>
          </a:r>
          <a:r>
            <a:rPr lang="en-US" alt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=LOWER(text)</a:t>
          </a:r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 =UPPER("Excel Functions")</a:t>
          </a:r>
          <a:r>
            <a:rPr lang="en-US" alt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Output: EXCEL FUNCTIONS</a:t>
          </a:r>
        </a:p>
        <a:p>
          <a:r>
            <a:rPr lang="en-US" alt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=LOWER(“EXCEL Functions”)     </a:t>
          </a:r>
        </a:p>
        <a:p>
          <a:r>
            <a:rPr lang="en-US" alt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Output: excel functions</a:t>
          </a:r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400"/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</xdr:row>
      <xdr:rowOff>9525</xdr:rowOff>
    </xdr:from>
    <xdr:to>
      <xdr:col>9</xdr:col>
      <xdr:colOff>399415</xdr:colOff>
      <xdr:row>21</xdr:row>
      <xdr:rowOff>11430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80975" y="200025"/>
          <a:ext cx="5704840" cy="381190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PROPER()</a:t>
          </a:r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Description: Capitalizes the first letter of each word in a text string while converting all other letters to lowercase.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Syntax: </a:t>
          </a:r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=PROPER(text)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 =PROPER("eXceL funCTionS")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Output: Excel Functions</a:t>
          </a: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TRIM()</a:t>
          </a:r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Description: Removes all extra spaces from a text string, leaving only single spaces between words.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Syntax: </a:t>
          </a:r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=TRIM(text)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 =TRIM(" Excel</a:t>
          </a:r>
          <a:r>
            <a:rPr lang="en-IN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Functions ")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Output: Excel Functions</a:t>
          </a: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0</xdr:colOff>
      <xdr:row>1</xdr:row>
      <xdr:rowOff>9525</xdr:rowOff>
    </xdr:from>
    <xdr:to>
      <xdr:col>19</xdr:col>
      <xdr:colOff>171450</xdr:colOff>
      <xdr:row>20</xdr:row>
      <xdr:rowOff>152400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6096000" y="200025"/>
          <a:ext cx="5657850" cy="37623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 sz="1400" b="1" u="sng"/>
        </a:p>
        <a:p>
          <a:r>
            <a:rPr lang="en-IN" sz="1400" b="1" u="sng"/>
            <a:t>7.FIND()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/>
            <a:t>The FIND function returns the </a:t>
          </a:r>
          <a:r>
            <a:rPr lang="en-IN" sz="1400" b="1"/>
            <a:t>position (number)</a:t>
          </a:r>
          <a:r>
            <a:rPr lang="en-IN" sz="1400"/>
            <a:t> of a character or substring </a:t>
          </a:r>
          <a:r>
            <a:rPr lang="en-IN" sz="1400" b="1"/>
            <a:t>within a text string</a:t>
          </a:r>
          <a:r>
            <a:rPr lang="en-IN" sz="1400"/>
            <a:t>, starting from the </a:t>
          </a:r>
          <a:r>
            <a:rPr lang="en-IN" sz="1400" b="1"/>
            <a:t>left</a:t>
          </a:r>
          <a:r>
            <a:rPr lang="en-IN" sz="1400"/>
            <a:t>.</a:t>
          </a:r>
        </a:p>
        <a:p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Syntax: </a:t>
          </a:r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=FIND(find_text, within_text, [start_num])</a:t>
          </a: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</a:t>
          </a:r>
          <a:r>
            <a:rPr lang="en-IN" sz="1400" b="1" u="sng"/>
            <a:t>LEN 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/>
            <a:t>The LEN function returns the </a:t>
          </a:r>
          <a:r>
            <a:rPr lang="en-IN" sz="1400" b="1"/>
            <a:t>number of characters</a:t>
          </a:r>
          <a:r>
            <a:rPr lang="en-IN" sz="1400"/>
            <a:t> in a text string. This includes </a:t>
          </a:r>
          <a:r>
            <a:rPr lang="en-IN" sz="1400" b="1"/>
            <a:t>letters, numbers, spaces, and special characters</a:t>
          </a:r>
          <a:r>
            <a:rPr lang="en-IN" sz="1400"/>
            <a:t>.</a:t>
          </a:r>
        </a:p>
        <a:p>
          <a:endParaRPr lang="en-IN" sz="14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Syntax: </a:t>
          </a:r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=LEN(text)</a:t>
          </a:r>
        </a:p>
        <a:p>
          <a:r>
            <a:rPr lang="en-IN" sz="1400" b="1"/>
            <a:t>text</a:t>
          </a:r>
          <a:r>
            <a:rPr lang="en-IN" sz="1400"/>
            <a:t> – The text or cell reference you want to measure.</a:t>
          </a:r>
          <a:endParaRPr lang="en-IN" sz="14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0</xdr:row>
      <xdr:rowOff>171450</xdr:rowOff>
    </xdr:from>
    <xdr:to>
      <xdr:col>14</xdr:col>
      <xdr:colOff>151765</xdr:colOff>
      <xdr:row>20</xdr:row>
      <xdr:rowOff>173355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981325" y="171450"/>
          <a:ext cx="5704840" cy="381190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HYPERLINK()</a:t>
          </a:r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Description: Creates a hyperlink to a specified location, such as a webpage, document, or cell in a workbook.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Syntax: =HYPERLINK(link_location, [friendly_name])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 =HYPERLINK("https://www.microsoft.com", "Microsoft Website")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Output: Microsoft Website (Clickable hyperlink)</a:t>
          </a: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</a:t>
          </a:r>
          <a:r>
            <a:rPr 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CONCAT()</a:t>
          </a:r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Description: Combines 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multiple text strings into one.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Syntax:</a:t>
          </a:r>
          <a:r>
            <a:rPr lang="en-US" alt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=CONCAT(text1, [text2], ...)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 =CONCAT("Excel", " ", "Functions")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Output: Excel Functions</a:t>
          </a: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3:H6" totalsRowShown="0">
  <autoFilter ref="B3:H6" xr:uid="{00000000-0009-0000-0100-000001000000}"/>
  <tableColumns count="7">
    <tableColumn id="1" xr3:uid="{00000000-0010-0000-0000-000001000000}" name="Name" dataDxfId="6"/>
    <tableColumn id="2" xr3:uid="{00000000-0010-0000-0000-000002000000}" name="Employee ID" dataDxfId="5"/>
    <tableColumn id="3" xr3:uid="{00000000-0010-0000-0000-000003000000}" name="Product Code" dataDxfId="4"/>
    <tableColumn id="4" xr3:uid="{00000000-0010-0000-0000-000004000000}" name="Order Number" dataDxfId="3"/>
    <tableColumn id="5" xr3:uid="{00000000-0010-0000-0000-000005000000}" name="Text" dataDxfId="2"/>
    <tableColumn id="8" xr3:uid="{00000000-0010-0000-0000-000008000000}" name="URL" dataDxfId="1"/>
    <tableColumn id="9" xr3:uid="{00000000-0010-0000-0000-000009000000}" name="Text2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xample.com/alicej" TargetMode="External"/><Relationship Id="rId3" Type="http://schemas.openxmlformats.org/officeDocument/2006/relationships/hyperlink" Target="mailto:alice.j@gmail.com" TargetMode="External"/><Relationship Id="rId7" Type="http://schemas.openxmlformats.org/officeDocument/2006/relationships/hyperlink" Target="http://www.example.com/roberts" TargetMode="External"/><Relationship Id="rId2" Type="http://schemas.openxmlformats.org/officeDocument/2006/relationships/hyperlink" Target="mailto:MARY.ANN@YMAIL.COM" TargetMode="External"/><Relationship Id="rId1" Type="http://schemas.openxmlformats.org/officeDocument/2006/relationships/hyperlink" Target="mailto:john.doe@gmail.com" TargetMode="External"/><Relationship Id="rId6" Type="http://schemas.openxmlformats.org/officeDocument/2006/relationships/hyperlink" Target="http://www.example.com/preethi" TargetMode="External"/><Relationship Id="rId11" Type="http://schemas.openxmlformats.org/officeDocument/2006/relationships/hyperlink" Target="mailto:shimiriya968@gmail.com" TargetMode="External"/><Relationship Id="rId5" Type="http://schemas.openxmlformats.org/officeDocument/2006/relationships/hyperlink" Target="mailto:preethi_nair@yahoo.in" TargetMode="External"/><Relationship Id="rId10" Type="http://schemas.openxmlformats.org/officeDocument/2006/relationships/hyperlink" Target="http://www.example.com/johndoe" TargetMode="External"/><Relationship Id="rId4" Type="http://schemas.openxmlformats.org/officeDocument/2006/relationships/hyperlink" Target="mailto:rsmith@hotmail.com" TargetMode="External"/><Relationship Id="rId9" Type="http://schemas.openxmlformats.org/officeDocument/2006/relationships/hyperlink" Target="http://www.example.com/maryan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microsoft.com/" TargetMode="External"/><Relationship Id="rId2" Type="http://schemas.openxmlformats.org/officeDocument/2006/relationships/hyperlink" Target="https://google.com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3"/>
  <sheetViews>
    <sheetView showGridLines="0" zoomScale="120" zoomScaleNormal="120" workbookViewId="0">
      <selection activeCell="F9" sqref="F9"/>
    </sheetView>
  </sheetViews>
  <sheetFormatPr defaultColWidth="9.109375" defaultRowHeight="14.4"/>
  <cols>
    <col min="1" max="3" width="9.109375" style="4"/>
    <col min="4" max="4" width="21.6640625" style="4" customWidth="1"/>
    <col min="5" max="5" width="22.109375" style="4" bestFit="1" customWidth="1"/>
    <col min="6" max="6" width="12.88671875" style="4" customWidth="1"/>
    <col min="7" max="7" width="19.109375" style="4" customWidth="1"/>
    <col min="8" max="8" width="17.109375" style="4" customWidth="1"/>
    <col min="9" max="16384" width="9.109375" style="4"/>
  </cols>
  <sheetData>
    <row r="1" spans="1:12" s="42" customFormat="1" ht="25.8">
      <c r="A1" s="41" t="s">
        <v>0</v>
      </c>
    </row>
    <row r="2" spans="1:12" ht="25.8">
      <c r="E2" s="5"/>
    </row>
    <row r="3" spans="1:12" ht="33" customHeight="1">
      <c r="C3" s="6"/>
      <c r="D3" s="7" t="s">
        <v>1</v>
      </c>
      <c r="E3" s="7" t="s">
        <v>2</v>
      </c>
      <c r="F3" s="7" t="s">
        <v>3</v>
      </c>
      <c r="G3" s="7" t="s">
        <v>4</v>
      </c>
      <c r="H3" s="30" t="s">
        <v>121</v>
      </c>
      <c r="I3" s="8"/>
      <c r="J3" s="8"/>
      <c r="K3" s="8"/>
      <c r="L3" s="9"/>
    </row>
    <row r="4" spans="1:12" ht="18">
      <c r="C4" s="8"/>
      <c r="D4" s="8"/>
      <c r="E4" s="8"/>
      <c r="F4" s="8"/>
      <c r="G4" s="8"/>
      <c r="H4" s="8"/>
      <c r="I4" s="8"/>
      <c r="J4" s="8"/>
      <c r="K4" s="8"/>
      <c r="L4" s="9"/>
    </row>
    <row r="5" spans="1:12" ht="41.1" customHeight="1">
      <c r="C5" s="6"/>
      <c r="D5" s="7" t="s">
        <v>122</v>
      </c>
      <c r="E5" s="10" t="s">
        <v>123</v>
      </c>
      <c r="F5" s="10" t="s">
        <v>126</v>
      </c>
      <c r="G5" s="7" t="s">
        <v>124</v>
      </c>
      <c r="H5" s="11" t="s">
        <v>125</v>
      </c>
      <c r="I5" s="8"/>
      <c r="J5" s="8"/>
      <c r="K5" s="8"/>
      <c r="L5" s="9"/>
    </row>
    <row r="6" spans="1:12" ht="18">
      <c r="C6" s="8"/>
      <c r="D6" s="8"/>
      <c r="E6" s="8"/>
      <c r="F6" s="8"/>
      <c r="G6" s="8"/>
      <c r="H6" s="8"/>
      <c r="I6" s="8"/>
      <c r="J6" s="8"/>
      <c r="K6" s="8"/>
      <c r="L6" s="9"/>
    </row>
    <row r="7" spans="1:12" ht="18">
      <c r="C7" s="8"/>
      <c r="D7" s="31" t="s">
        <v>127</v>
      </c>
      <c r="E7" s="8"/>
      <c r="F7" s="8"/>
      <c r="G7" s="8"/>
      <c r="H7" s="8"/>
      <c r="I7" s="8"/>
      <c r="J7" s="8"/>
      <c r="K7" s="8"/>
      <c r="L7" s="9"/>
    </row>
    <row r="8" spans="1:12" ht="18">
      <c r="C8" s="8"/>
      <c r="D8" s="8"/>
      <c r="E8" s="8"/>
      <c r="F8" s="8"/>
      <c r="G8" s="8"/>
      <c r="H8" s="8"/>
      <c r="I8" s="8"/>
      <c r="J8" s="8"/>
      <c r="K8" s="8"/>
      <c r="L8" s="9"/>
    </row>
    <row r="9" spans="1:12" ht="18">
      <c r="C9" s="8"/>
      <c r="D9" s="8"/>
      <c r="E9" s="8"/>
      <c r="F9" s="8"/>
      <c r="G9" s="8"/>
      <c r="H9" s="8"/>
      <c r="I9" s="8"/>
      <c r="J9" s="8"/>
      <c r="K9" s="8"/>
      <c r="L9" s="9"/>
    </row>
    <row r="10" spans="1:12">
      <c r="L10" s="9"/>
    </row>
    <row r="11" spans="1:12">
      <c r="L11" s="9"/>
    </row>
    <row r="12" spans="1:12" ht="18">
      <c r="C12" s="8"/>
      <c r="D12" s="8"/>
      <c r="E12" s="8"/>
      <c r="F12" s="8"/>
      <c r="G12" s="8"/>
      <c r="H12" s="8"/>
      <c r="I12" s="8"/>
      <c r="J12" s="8"/>
      <c r="K12" s="8"/>
      <c r="L12" s="9"/>
    </row>
    <row r="13" spans="1:12">
      <c r="E13" s="12"/>
      <c r="F13" s="12"/>
      <c r="G13" s="12"/>
    </row>
  </sheetData>
  <mergeCells count="1">
    <mergeCell ref="A1:XF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U10" sqref="U10"/>
    </sheetView>
  </sheetViews>
  <sheetFormatPr defaultColWidth="9.109375" defaultRowHeight="14.4"/>
  <cols>
    <col min="1" max="16384" width="9.109375" style="4"/>
  </cols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EE61-33F6-4985-A8AA-854CFE6C5A5F}">
  <dimension ref="B1:K42"/>
  <sheetViews>
    <sheetView workbookViewId="0">
      <selection activeCell="N9" sqref="N9"/>
    </sheetView>
  </sheetViews>
  <sheetFormatPr defaultRowHeight="14.4"/>
  <cols>
    <col min="2" max="6" width="12" customWidth="1"/>
    <col min="7" max="7" width="14" customWidth="1"/>
    <col min="9" max="9" width="14" bestFit="1" customWidth="1"/>
    <col min="10" max="10" width="12" bestFit="1" customWidth="1"/>
    <col min="11" max="11" width="10.88671875" bestFit="1" customWidth="1"/>
  </cols>
  <sheetData>
    <row r="1" spans="2:11" ht="21">
      <c r="D1" s="29" t="s">
        <v>120</v>
      </c>
    </row>
    <row r="3" spans="2:11" ht="28.8">
      <c r="B3" s="18" t="s">
        <v>53</v>
      </c>
      <c r="C3" s="18" t="s">
        <v>54</v>
      </c>
      <c r="D3" s="18" t="s">
        <v>55</v>
      </c>
      <c r="E3" s="18" t="s">
        <v>56</v>
      </c>
      <c r="F3" s="18" t="s">
        <v>57</v>
      </c>
      <c r="G3" s="27" t="s">
        <v>113</v>
      </c>
      <c r="H3" s="27" t="s">
        <v>114</v>
      </c>
      <c r="I3" s="27" t="s">
        <v>117</v>
      </c>
      <c r="J3" s="27" t="s">
        <v>118</v>
      </c>
      <c r="K3" s="27" t="s">
        <v>119</v>
      </c>
    </row>
    <row r="4" spans="2:11"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  <c r="G4" s="28" t="str">
        <f>LEFT(B4,3)</f>
        <v>IMP</v>
      </c>
      <c r="H4" s="28" t="str">
        <f>RIGHT(B4,2)</f>
        <v>01</v>
      </c>
      <c r="I4" s="28" t="str">
        <f>MID(B4,5,4)</f>
        <v>2024</v>
      </c>
      <c r="J4" s="28" t="str">
        <f>UPPER(F4)</f>
        <v>NEW YORK</v>
      </c>
      <c r="K4" s="28" t="str">
        <f>LOWER(F4)</f>
        <v>new york</v>
      </c>
    </row>
    <row r="5" spans="2:11" ht="28.8">
      <c r="B5" s="3" t="s">
        <v>63</v>
      </c>
      <c r="C5" s="3" t="s">
        <v>64</v>
      </c>
      <c r="D5" s="3" t="s">
        <v>65</v>
      </c>
      <c r="E5" s="3" t="s">
        <v>66</v>
      </c>
      <c r="F5" s="3" t="s">
        <v>67</v>
      </c>
      <c r="G5" s="28" t="str">
        <f t="shared" ref="G5:G9" si="0">LEFT(B5,3)</f>
        <v>EXP</v>
      </c>
      <c r="H5" s="28" t="str">
        <f t="shared" ref="H5:H9" si="1">RIGHT(B5,2)</f>
        <v>89</v>
      </c>
      <c r="I5" s="28" t="str">
        <f t="shared" ref="I5:I9" si="2">MID(B5,5,4)</f>
        <v>2023</v>
      </c>
      <c r="J5" s="28" t="str">
        <f t="shared" ref="J5:J9" si="3">UPPER(F5)</f>
        <v>DUBAI</v>
      </c>
      <c r="K5" s="28" t="str">
        <f t="shared" ref="K5:K9" si="4">LOWER(F5)</f>
        <v>dubai</v>
      </c>
    </row>
    <row r="6" spans="2:11">
      <c r="B6" s="3" t="s">
        <v>68</v>
      </c>
      <c r="C6" s="3" t="s">
        <v>69</v>
      </c>
      <c r="D6" s="3" t="s">
        <v>60</v>
      </c>
      <c r="E6" s="3" t="s">
        <v>70</v>
      </c>
      <c r="F6" s="3" t="s">
        <v>71</v>
      </c>
      <c r="G6" s="28" t="str">
        <f t="shared" si="0"/>
        <v>IMP</v>
      </c>
      <c r="H6" s="28" t="str">
        <f t="shared" si="1"/>
        <v>23</v>
      </c>
      <c r="I6" s="28" t="str">
        <f t="shared" si="2"/>
        <v>2024</v>
      </c>
      <c r="J6" s="28" t="str">
        <f t="shared" si="3"/>
        <v>LONDON</v>
      </c>
      <c r="K6" s="28" t="str">
        <f t="shared" si="4"/>
        <v>london</v>
      </c>
    </row>
    <row r="7" spans="2:11" ht="28.8">
      <c r="B7" s="3" t="s">
        <v>72</v>
      </c>
      <c r="C7" s="3" t="s">
        <v>73</v>
      </c>
      <c r="D7" s="3" t="s">
        <v>65</v>
      </c>
      <c r="E7" s="3" t="s">
        <v>74</v>
      </c>
      <c r="F7" s="3" t="s">
        <v>75</v>
      </c>
      <c r="G7" s="28" t="str">
        <f t="shared" si="0"/>
        <v>EXP</v>
      </c>
      <c r="H7" s="28" t="str">
        <f t="shared" si="1"/>
        <v>45</v>
      </c>
      <c r="I7" s="28" t="str">
        <f t="shared" si="2"/>
        <v>2023</v>
      </c>
      <c r="J7" s="28" t="str">
        <f t="shared" si="3"/>
        <v>SYDNEY</v>
      </c>
      <c r="K7" s="28" t="str">
        <f t="shared" si="4"/>
        <v>sydney</v>
      </c>
    </row>
    <row r="8" spans="2:11" ht="28.8">
      <c r="B8" s="3" t="s">
        <v>76</v>
      </c>
      <c r="C8" s="3" t="s">
        <v>77</v>
      </c>
      <c r="D8" s="3" t="s">
        <v>65</v>
      </c>
      <c r="E8" s="3" t="s">
        <v>78</v>
      </c>
      <c r="F8" s="3" t="s">
        <v>79</v>
      </c>
      <c r="G8" s="28" t="str">
        <f t="shared" si="0"/>
        <v>EXP</v>
      </c>
      <c r="H8" s="28" t="str">
        <f t="shared" si="1"/>
        <v>11</v>
      </c>
      <c r="I8" s="28" t="str">
        <f t="shared" si="2"/>
        <v>2024</v>
      </c>
      <c r="J8" s="28" t="str">
        <f t="shared" si="3"/>
        <v>HAMBURG</v>
      </c>
      <c r="K8" s="28" t="str">
        <f t="shared" si="4"/>
        <v>hamburg</v>
      </c>
    </row>
    <row r="9" spans="2:11" ht="28.8">
      <c r="B9" s="3" t="s">
        <v>80</v>
      </c>
      <c r="C9" s="3" t="s">
        <v>81</v>
      </c>
      <c r="D9" s="3" t="s">
        <v>60</v>
      </c>
      <c r="E9" s="3" t="s">
        <v>82</v>
      </c>
      <c r="F9" s="3" t="s">
        <v>83</v>
      </c>
      <c r="G9" s="28" t="str">
        <f t="shared" si="0"/>
        <v>IMP</v>
      </c>
      <c r="H9" s="28" t="str">
        <f t="shared" si="1"/>
        <v>07</v>
      </c>
      <c r="I9" s="28" t="str">
        <f t="shared" si="2"/>
        <v>2023</v>
      </c>
      <c r="J9" s="28" t="str">
        <f t="shared" si="3"/>
        <v>MELBOURNE</v>
      </c>
      <c r="K9" s="28" t="str">
        <f t="shared" si="4"/>
        <v>melbourne</v>
      </c>
    </row>
    <row r="12" spans="2:11" ht="21">
      <c r="B12" s="25" t="s">
        <v>105</v>
      </c>
      <c r="F12" s="26"/>
      <c r="G12" s="21" t="s">
        <v>111</v>
      </c>
    </row>
    <row r="13" spans="2:11" ht="15.6">
      <c r="B13" s="19" t="s">
        <v>84</v>
      </c>
      <c r="G13" s="21" t="s">
        <v>112</v>
      </c>
    </row>
    <row r="14" spans="2:11">
      <c r="B14" s="22" t="s">
        <v>85</v>
      </c>
      <c r="G14" s="21" t="s">
        <v>115</v>
      </c>
    </row>
    <row r="15" spans="2:11">
      <c r="B15" s="23" t="s">
        <v>86</v>
      </c>
      <c r="G15" s="21" t="s">
        <v>116</v>
      </c>
    </row>
    <row r="16" spans="2:11">
      <c r="B16" s="23" t="s">
        <v>87</v>
      </c>
    </row>
    <row r="17" spans="2:2">
      <c r="B17" s="23" t="s">
        <v>88</v>
      </c>
    </row>
    <row r="18" spans="2:2">
      <c r="B18" s="23" t="s">
        <v>89</v>
      </c>
    </row>
    <row r="19" spans="2:2">
      <c r="B19" s="21" t="s">
        <v>106</v>
      </c>
    </row>
    <row r="20" spans="2:2" ht="15.6">
      <c r="B20" s="19" t="s">
        <v>90</v>
      </c>
    </row>
    <row r="21" spans="2:2">
      <c r="B21" s="22" t="s">
        <v>91</v>
      </c>
    </row>
    <row r="22" spans="2:2">
      <c r="B22" s="22" t="s">
        <v>92</v>
      </c>
    </row>
    <row r="23" spans="2:2">
      <c r="B23" s="22" t="s">
        <v>93</v>
      </c>
    </row>
    <row r="24" spans="2:2">
      <c r="B24" s="21" t="s">
        <v>107</v>
      </c>
    </row>
    <row r="25" spans="2:2" ht="15.6">
      <c r="B25" s="19" t="s">
        <v>94</v>
      </c>
    </row>
    <row r="26" spans="2:2">
      <c r="B26" s="22" t="s">
        <v>95</v>
      </c>
    </row>
    <row r="27" spans="2:2">
      <c r="B27" s="22" t="s">
        <v>96</v>
      </c>
    </row>
    <row r="28" spans="2:2">
      <c r="B28" s="24" t="s">
        <v>97</v>
      </c>
    </row>
    <row r="29" spans="2:2">
      <c r="B29" s="24" t="s">
        <v>98</v>
      </c>
    </row>
    <row r="30" spans="2:2">
      <c r="B30" s="21" t="s">
        <v>108</v>
      </c>
    </row>
    <row r="31" spans="2:2" ht="15.6">
      <c r="B31" s="19" t="s">
        <v>99</v>
      </c>
    </row>
    <row r="32" spans="2:2">
      <c r="B32" s="22" t="s">
        <v>100</v>
      </c>
    </row>
    <row r="33" spans="2:2">
      <c r="B33" s="22" t="s">
        <v>101</v>
      </c>
    </row>
    <row r="34" spans="2:2">
      <c r="B34" s="21" t="s">
        <v>109</v>
      </c>
    </row>
    <row r="35" spans="2:2" ht="15.6">
      <c r="B35" s="19" t="s">
        <v>102</v>
      </c>
    </row>
    <row r="36" spans="2:2">
      <c r="B36" s="22" t="s">
        <v>103</v>
      </c>
    </row>
    <row r="37" spans="2:2">
      <c r="B37" s="22" t="s">
        <v>104</v>
      </c>
    </row>
    <row r="38" spans="2:2">
      <c r="B38" s="21" t="s">
        <v>110</v>
      </c>
    </row>
    <row r="42" spans="2:2">
      <c r="B42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>
      <selection activeCell="T8" sqref="T8"/>
    </sheetView>
  </sheetViews>
  <sheetFormatPr defaultColWidth="9.109375" defaultRowHeight="14.4"/>
  <cols>
    <col min="1" max="16384" width="9.109375" style="4"/>
  </cols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428-31AF-413B-B889-A0B395317F4E}">
  <dimension ref="B1:I13"/>
  <sheetViews>
    <sheetView zoomScale="115" zoomScaleNormal="115" workbookViewId="0">
      <selection activeCell="I5" sqref="I5"/>
    </sheetView>
  </sheetViews>
  <sheetFormatPr defaultRowHeight="14.4"/>
  <cols>
    <col min="2" max="2" width="10.88671875" customWidth="1"/>
    <col min="3" max="3" width="16.6640625" customWidth="1"/>
    <col min="4" max="4" width="23" customWidth="1"/>
    <col min="5" max="5" width="16.6640625" customWidth="1"/>
    <col min="6" max="6" width="23.109375" bestFit="1" customWidth="1"/>
    <col min="7" max="7" width="16.6640625" customWidth="1"/>
  </cols>
  <sheetData>
    <row r="1" spans="2:9" ht="21">
      <c r="C1" s="29" t="s">
        <v>128</v>
      </c>
    </row>
    <row r="3" spans="2:9" ht="28.8">
      <c r="B3" s="2" t="s">
        <v>53</v>
      </c>
      <c r="C3" s="2" t="s">
        <v>156</v>
      </c>
      <c r="D3" s="2" t="s">
        <v>157</v>
      </c>
      <c r="E3" s="2" t="s">
        <v>158</v>
      </c>
      <c r="F3" s="2" t="s">
        <v>159</v>
      </c>
      <c r="H3" s="15" t="s">
        <v>154</v>
      </c>
      <c r="I3">
        <f>FIND(G4,B4,4)</f>
        <v>5</v>
      </c>
    </row>
    <row r="4" spans="2:9" ht="28.8">
      <c r="B4" s="39" t="s">
        <v>221</v>
      </c>
      <c r="C4" s="32" t="s">
        <v>160</v>
      </c>
      <c r="D4" s="32" t="s">
        <v>161</v>
      </c>
      <c r="E4" s="32" t="s">
        <v>162</v>
      </c>
      <c r="F4" s="38" t="s">
        <v>213</v>
      </c>
      <c r="G4" s="35" t="s">
        <v>222</v>
      </c>
      <c r="H4" s="36" t="s">
        <v>155</v>
      </c>
      <c r="I4">
        <f>LEN(B4)</f>
        <v>8</v>
      </c>
    </row>
    <row r="5" spans="2:9" ht="28.8">
      <c r="B5" s="38" t="s">
        <v>217</v>
      </c>
      <c r="C5" s="32" t="s">
        <v>163</v>
      </c>
      <c r="D5" s="32" t="s">
        <v>164</v>
      </c>
      <c r="E5" s="32" t="s">
        <v>165</v>
      </c>
      <c r="F5" s="38" t="s">
        <v>214</v>
      </c>
    </row>
    <row r="6" spans="2:9">
      <c r="B6" s="38" t="s">
        <v>218</v>
      </c>
      <c r="C6" s="32" t="s">
        <v>166</v>
      </c>
      <c r="D6" s="32" t="s">
        <v>167</v>
      </c>
      <c r="E6" s="32" t="s">
        <v>168</v>
      </c>
      <c r="F6" s="38" t="s">
        <v>215</v>
      </c>
    </row>
    <row r="7" spans="2:9" ht="28.8">
      <c r="B7" s="38" t="s">
        <v>219</v>
      </c>
      <c r="C7" s="32" t="s">
        <v>169</v>
      </c>
      <c r="D7" s="32" t="s">
        <v>170</v>
      </c>
      <c r="E7" s="32" t="s">
        <v>171</v>
      </c>
      <c r="F7" s="38" t="s">
        <v>216</v>
      </c>
    </row>
    <row r="8" spans="2:9" ht="28.8">
      <c r="B8" s="38" t="s">
        <v>220</v>
      </c>
      <c r="C8" s="32" t="s">
        <v>172</v>
      </c>
      <c r="D8" s="32" t="s">
        <v>173</v>
      </c>
      <c r="E8" s="32" t="s">
        <v>174</v>
      </c>
      <c r="F8" s="32" t="s">
        <v>175</v>
      </c>
    </row>
    <row r="10" spans="2:9">
      <c r="B10" s="43" t="s">
        <v>176</v>
      </c>
      <c r="C10" s="43"/>
      <c r="D10" s="43"/>
      <c r="E10" t="str">
        <f>PROPER(C4)</f>
        <v>John Mathew</v>
      </c>
      <c r="F10" t="str">
        <f>TRIM(F4)</f>
        <v>handle with care</v>
      </c>
    </row>
    <row r="11" spans="2:9">
      <c r="B11" s="43" t="s">
        <v>177</v>
      </c>
      <c r="C11" s="43"/>
      <c r="D11" s="43"/>
      <c r="E11" t="str">
        <f t="shared" ref="E11:E13" si="0">PROPER(C5)</f>
        <v>Reena Joseph</v>
      </c>
      <c r="F11" t="str">
        <f t="shared" ref="F11:F13" si="1">TRIM(F5)</f>
        <v>deliver before 10am</v>
      </c>
    </row>
    <row r="12" spans="2:9">
      <c r="B12" s="43" t="s">
        <v>178</v>
      </c>
      <c r="C12" s="43"/>
      <c r="D12" s="43"/>
      <c r="E12" t="str">
        <f t="shared" si="0"/>
        <v>Faizal Pk</v>
      </c>
      <c r="F12" t="str">
        <f t="shared" si="1"/>
        <v>urgent delivery required</v>
      </c>
    </row>
    <row r="13" spans="2:9">
      <c r="B13" s="43" t="s">
        <v>179</v>
      </c>
      <c r="C13" s="43"/>
      <c r="D13" s="43"/>
      <c r="E13" t="str">
        <f t="shared" si="0"/>
        <v>Anil Kumar</v>
      </c>
      <c r="F13" t="str">
        <f t="shared" si="1"/>
        <v>keep upright</v>
      </c>
    </row>
  </sheetData>
  <mergeCells count="4">
    <mergeCell ref="B10:D10"/>
    <mergeCell ref="B11:D11"/>
    <mergeCell ref="B12:D12"/>
    <mergeCell ref="B13:D13"/>
  </mergeCells>
  <phoneticPr fontId="2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workbookViewId="0">
      <selection activeCell="S13" sqref="S13"/>
    </sheetView>
  </sheetViews>
  <sheetFormatPr defaultColWidth="9.109375" defaultRowHeight="14.4"/>
  <cols>
    <col min="1" max="16384" width="9.109375" style="4"/>
  </cols>
  <sheetData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8D54-7C0D-48E4-B272-7B5F06A2DE30}">
  <dimension ref="B3:L10"/>
  <sheetViews>
    <sheetView workbookViewId="0">
      <selection activeCell="J4" sqref="J4"/>
    </sheetView>
  </sheetViews>
  <sheetFormatPr defaultRowHeight="14.4"/>
  <cols>
    <col min="1" max="1" width="9.33203125" customWidth="1"/>
    <col min="2" max="7" width="18.88671875" customWidth="1"/>
    <col min="9" max="9" width="16.77734375" customWidth="1"/>
    <col min="12" max="12" width="30.77734375" customWidth="1"/>
  </cols>
  <sheetData>
    <row r="3" spans="2:12" ht="44.25" customHeight="1">
      <c r="B3" s="2" t="s">
        <v>180</v>
      </c>
      <c r="C3" s="2" t="s">
        <v>181</v>
      </c>
      <c r="D3" s="2" t="s">
        <v>129</v>
      </c>
      <c r="E3" s="2" t="s">
        <v>130</v>
      </c>
      <c r="F3" s="2" t="s">
        <v>131</v>
      </c>
      <c r="G3" s="2" t="s">
        <v>132</v>
      </c>
      <c r="K3" t="s">
        <v>224</v>
      </c>
      <c r="L3" s="13" t="s">
        <v>223</v>
      </c>
    </row>
    <row r="4" spans="2:12" ht="44.25" customHeight="1">
      <c r="B4" s="32" t="s">
        <v>185</v>
      </c>
      <c r="C4" s="32" t="s">
        <v>50</v>
      </c>
      <c r="D4" s="33" t="s">
        <v>133</v>
      </c>
      <c r="E4" s="32" t="s">
        <v>148</v>
      </c>
      <c r="F4" s="32" t="s">
        <v>134</v>
      </c>
      <c r="G4" s="34" t="s">
        <v>135</v>
      </c>
      <c r="I4" s="13" t="str">
        <f>HYPERLINK(G4,B4)</f>
        <v xml:space="preserve">john </v>
      </c>
      <c r="J4" s="13" t="str">
        <f>HYPERLINK("mailto:"&amp;D4,C4)</f>
        <v>Doe</v>
      </c>
      <c r="L4" s="13" t="str">
        <f>HYPERLINK("mailto:"&amp;L3,K3)</f>
        <v>shimiriya</v>
      </c>
    </row>
    <row r="5" spans="2:12" ht="44.25" customHeight="1">
      <c r="B5" s="32" t="s">
        <v>186</v>
      </c>
      <c r="C5" s="32" t="s">
        <v>182</v>
      </c>
      <c r="D5" s="33" t="s">
        <v>136</v>
      </c>
      <c r="E5" s="32" t="s">
        <v>149</v>
      </c>
      <c r="F5" s="32" t="s">
        <v>137</v>
      </c>
      <c r="G5" s="34" t="s">
        <v>138</v>
      </c>
      <c r="I5" s="13" t="str">
        <f t="shared" ref="I5:I8" si="0">HYPERLINK(G5,B5)</f>
        <v xml:space="preserve">MARY </v>
      </c>
      <c r="J5" s="13" t="str">
        <f t="shared" ref="J5:J8" si="1">HYPERLINK("mailto:"&amp;D5,C5)</f>
        <v>Ann</v>
      </c>
    </row>
    <row r="6" spans="2:12" ht="44.25" customHeight="1">
      <c r="B6" s="32" t="s">
        <v>51</v>
      </c>
      <c r="C6" s="32" t="s">
        <v>52</v>
      </c>
      <c r="D6" s="33" t="s">
        <v>139</v>
      </c>
      <c r="E6" s="32" t="s">
        <v>150</v>
      </c>
      <c r="F6" s="32" t="s">
        <v>140</v>
      </c>
      <c r="G6" s="34" t="s">
        <v>141</v>
      </c>
      <c r="I6" s="13" t="str">
        <f t="shared" si="0"/>
        <v>Alice</v>
      </c>
      <c r="J6" s="13" t="str">
        <f t="shared" si="1"/>
        <v>Johnson</v>
      </c>
    </row>
    <row r="7" spans="2:12" ht="44.25" customHeight="1">
      <c r="B7" s="32" t="s">
        <v>187</v>
      </c>
      <c r="C7" s="32" t="s">
        <v>183</v>
      </c>
      <c r="D7" s="33" t="s">
        <v>142</v>
      </c>
      <c r="E7" s="32" t="s">
        <v>151</v>
      </c>
      <c r="F7" s="32" t="s">
        <v>143</v>
      </c>
      <c r="G7" s="34" t="s">
        <v>144</v>
      </c>
      <c r="I7" s="13" t="str">
        <f t="shared" si="0"/>
        <v xml:space="preserve">robert </v>
      </c>
      <c r="J7" s="13" t="str">
        <f t="shared" si="1"/>
        <v>Smith</v>
      </c>
    </row>
    <row r="8" spans="2:12" ht="44.25" customHeight="1">
      <c r="B8" s="32" t="s">
        <v>188</v>
      </c>
      <c r="C8" s="32" t="s">
        <v>184</v>
      </c>
      <c r="D8" s="33" t="s">
        <v>145</v>
      </c>
      <c r="E8" s="32" t="s">
        <v>152</v>
      </c>
      <c r="F8" s="32" t="s">
        <v>146</v>
      </c>
      <c r="G8" s="34" t="s">
        <v>147</v>
      </c>
      <c r="I8" s="13" t="str">
        <f t="shared" si="0"/>
        <v>preethi</v>
      </c>
      <c r="J8" s="13" t="str">
        <f t="shared" si="1"/>
        <v>Nair</v>
      </c>
    </row>
    <row r="10" spans="2:12">
      <c r="B10" s="21" t="s">
        <v>153</v>
      </c>
      <c r="C10" s="21"/>
      <c r="G10" s="13"/>
    </row>
  </sheetData>
  <hyperlinks>
    <hyperlink ref="D4" r:id="rId1" display="mailto:john.doe@gmail.com" xr:uid="{BB51FD1C-8A18-41C2-9A69-826A7B8A6AD6}"/>
    <hyperlink ref="D5" r:id="rId2" display="mailto:MARY.ANN@YMAIL.COM" xr:uid="{A2957305-822D-490D-BE51-217ECE69F98A}"/>
    <hyperlink ref="D6" r:id="rId3" display="mailto:alice.j@gmail.com" xr:uid="{C9BE4EB7-B53B-4746-87E2-578477EF943A}"/>
    <hyperlink ref="D7" r:id="rId4" display="mailto:rsmith@hotmail.com" xr:uid="{37EA7704-C700-44D0-A8F8-6BEFF9309FA1}"/>
    <hyperlink ref="D8" r:id="rId5" display="mailto:preethi_nair@yahoo.in" xr:uid="{E3A0A8F5-ED43-4280-AE69-E9D70372AFBF}"/>
    <hyperlink ref="G8" r:id="rId6" display="http://www.example.com/preethi" xr:uid="{C7407160-CAFC-4F7A-8BF5-8C33062CB5DF}"/>
    <hyperlink ref="G7" r:id="rId7" display="http://www.example.com/roberts" xr:uid="{AE69EFB6-364C-44C1-894A-83C3AB46DB9F}"/>
    <hyperlink ref="G6" r:id="rId8" display="http://www.example.com/alicej" xr:uid="{8988BBA7-2F24-460A-835D-563037B1CEA2}"/>
    <hyperlink ref="G5" r:id="rId9" display="http://www.example.com/maryann" xr:uid="{C5A0D73D-03CF-49BB-A70D-733998D7F07F}"/>
    <hyperlink ref="G4" r:id="rId10" display="http://www.example.com/johndoe" xr:uid="{4EF9C179-7AF0-490E-946F-E8866520F563}"/>
    <hyperlink ref="L3" r:id="rId11" xr:uid="{55A45C48-B2B8-4AC8-A1A1-1610ED9EA6D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1:O15"/>
  <sheetViews>
    <sheetView tabSelected="1" topLeftCell="C2" workbookViewId="0">
      <selection activeCell="O11" sqref="O11"/>
    </sheetView>
  </sheetViews>
  <sheetFormatPr defaultColWidth="9.109375" defaultRowHeight="14.4"/>
  <cols>
    <col min="2" max="2" width="21.44140625" customWidth="1"/>
    <col min="3" max="3" width="13.5546875" customWidth="1"/>
    <col min="4" max="4" width="12.6640625" customWidth="1"/>
    <col min="5" max="5" width="14.109375" customWidth="1"/>
    <col min="6" max="6" width="28.44140625" customWidth="1"/>
    <col min="7" max="7" width="18.33203125" customWidth="1"/>
    <col min="8" max="8" width="13.88671875" customWidth="1"/>
    <col min="13" max="13" width="10" customWidth="1"/>
    <col min="14" max="14" width="15" customWidth="1"/>
    <col min="15" max="15" width="13.6640625" customWidth="1"/>
  </cols>
  <sheetData>
    <row r="1" spans="2:15" ht="28.8">
      <c r="B1" s="1" t="s">
        <v>5</v>
      </c>
    </row>
    <row r="2" spans="2:15" ht="28.8">
      <c r="B2" s="1"/>
    </row>
    <row r="3" spans="2:15"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</row>
    <row r="4" spans="2:15" ht="28.8"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J4" s="13"/>
    </row>
    <row r="5" spans="2:15"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J5" s="13"/>
    </row>
    <row r="6" spans="2:15" ht="28.8"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31</v>
      </c>
      <c r="J6" s="13"/>
    </row>
    <row r="9" spans="2:15">
      <c r="B9" s="47" t="s">
        <v>200</v>
      </c>
      <c r="C9" s="47"/>
      <c r="D9" s="47"/>
      <c r="E9" s="47"/>
      <c r="F9" s="47"/>
      <c r="G9" t="str">
        <f>RIGHT(C4,5)</f>
        <v>12345</v>
      </c>
      <c r="H9" s="45" t="s">
        <v>206</v>
      </c>
      <c r="I9" s="45"/>
      <c r="J9" s="45"/>
      <c r="K9" s="45"/>
      <c r="L9" s="45"/>
      <c r="M9" s="45"/>
      <c r="N9" s="45"/>
      <c r="O9" s="13" t="str">
        <f>HYPERLINK(G4,F4)</f>
        <v>Hello  World</v>
      </c>
    </row>
    <row r="10" spans="2:15">
      <c r="B10" s="47" t="s">
        <v>201</v>
      </c>
      <c r="C10" s="47"/>
      <c r="D10" s="47"/>
      <c r="E10" s="47"/>
      <c r="F10" s="47"/>
      <c r="G10" t="str">
        <f>LEFT(D4,3)</f>
        <v>ABC</v>
      </c>
      <c r="H10" s="46" t="s">
        <v>207</v>
      </c>
      <c r="I10" s="46"/>
      <c r="J10" s="46"/>
      <c r="K10" s="46"/>
      <c r="L10" s="46"/>
      <c r="M10" s="46"/>
      <c r="N10" s="46"/>
      <c r="O10" t="str">
        <f>_xlfn.CONCAT(B4,"-",G9)</f>
        <v>John Smith-12345</v>
      </c>
    </row>
    <row r="11" spans="2:15">
      <c r="B11" s="47" t="s">
        <v>202</v>
      </c>
      <c r="C11" s="47"/>
      <c r="D11" s="47"/>
      <c r="E11" s="47"/>
      <c r="F11" s="47"/>
      <c r="G11" t="str">
        <f>MID(E4,4,4)</f>
        <v>2023</v>
      </c>
    </row>
    <row r="12" spans="2:15">
      <c r="B12" s="47" t="s">
        <v>203</v>
      </c>
      <c r="C12" s="47"/>
      <c r="D12" s="47"/>
      <c r="E12" s="47"/>
      <c r="F12" s="47"/>
      <c r="G12" t="str">
        <f>UPPER(B4)</f>
        <v>JOHN SMITH</v>
      </c>
    </row>
    <row r="13" spans="2:15">
      <c r="B13" s="47" t="s">
        <v>204</v>
      </c>
      <c r="C13" s="47"/>
      <c r="D13" s="47"/>
      <c r="E13" s="47"/>
      <c r="F13" s="47"/>
      <c r="G13" t="str">
        <f>PROPER(B4)</f>
        <v>John Smith</v>
      </c>
    </row>
    <row r="14" spans="2:15">
      <c r="B14" s="47" t="s">
        <v>205</v>
      </c>
      <c r="C14" s="47"/>
      <c r="D14" s="47"/>
      <c r="E14" s="47"/>
      <c r="F14" s="47"/>
      <c r="G14" t="str">
        <f>TRIM(F4)</f>
        <v>Hello World</v>
      </c>
    </row>
    <row r="15" spans="2:15">
      <c r="B15" s="44"/>
      <c r="C15" s="44"/>
      <c r="D15" s="44"/>
      <c r="E15" s="44"/>
      <c r="F15" s="44"/>
    </row>
  </sheetData>
  <mergeCells count="9">
    <mergeCell ref="B15:F15"/>
    <mergeCell ref="H9:N9"/>
    <mergeCell ref="H10:N10"/>
    <mergeCell ref="B9:F9"/>
    <mergeCell ref="B10:F10"/>
    <mergeCell ref="B11:F11"/>
    <mergeCell ref="B12:F12"/>
    <mergeCell ref="B13:F13"/>
    <mergeCell ref="B14:F14"/>
  </mergeCells>
  <phoneticPr fontId="16" type="noConversion"/>
  <hyperlinks>
    <hyperlink ref="G4" r:id="rId1" tooltip="https://example.com" xr:uid="{00000000-0004-0000-0700-000000000000}"/>
    <hyperlink ref="G5" r:id="rId2" tooltip="https://google.com" xr:uid="{00000000-0004-0000-0700-000001000000}"/>
    <hyperlink ref="G6" r:id="rId3" tooltip="https://microsoft.com" xr:uid="{00000000-0004-0000-0700-000002000000}"/>
  </hyperlinks>
  <pageMargins left="0.75" right="0.75" top="1" bottom="1" header="0.5" footer="0.5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0683-456D-4250-997C-4AA7066E3405}">
  <sheetPr codeName="Sheet9"/>
  <dimension ref="A2:R20"/>
  <sheetViews>
    <sheetView zoomScale="80" zoomScaleNormal="80" workbookViewId="0">
      <selection activeCell="M15" sqref="M15"/>
    </sheetView>
  </sheetViews>
  <sheetFormatPr defaultRowHeight="14.4"/>
  <cols>
    <col min="4" max="4" width="13.5546875" customWidth="1"/>
    <col min="5" max="5" width="33" customWidth="1"/>
    <col min="6" max="6" width="20.33203125" customWidth="1"/>
    <col min="7" max="7" width="16.109375" customWidth="1"/>
    <col min="8" max="8" width="13.77734375" customWidth="1"/>
    <col min="10" max="10" width="15.109375" customWidth="1"/>
    <col min="11" max="11" width="22.88671875" customWidth="1"/>
    <col min="12" max="12" width="37.33203125" customWidth="1"/>
    <col min="13" max="13" width="28.88671875" customWidth="1"/>
  </cols>
  <sheetData>
    <row r="2" spans="1:18" ht="43.2">
      <c r="C2" s="2" t="s">
        <v>189</v>
      </c>
      <c r="D2" s="40" t="s">
        <v>33</v>
      </c>
      <c r="E2" s="40" t="s">
        <v>34</v>
      </c>
      <c r="F2" s="40" t="s">
        <v>35</v>
      </c>
      <c r="G2" s="2" t="s">
        <v>191</v>
      </c>
      <c r="H2" s="40" t="s">
        <v>36</v>
      </c>
      <c r="I2" s="40" t="s">
        <v>37</v>
      </c>
      <c r="J2" s="14"/>
      <c r="K2" s="14"/>
      <c r="L2" s="14"/>
      <c r="M2" s="14"/>
      <c r="Q2" s="17"/>
    </row>
    <row r="3" spans="1:18">
      <c r="C3" s="3">
        <v>1001</v>
      </c>
      <c r="D3" s="3" t="s">
        <v>195</v>
      </c>
      <c r="E3" s="3" t="s">
        <v>38</v>
      </c>
      <c r="F3" s="3" t="s">
        <v>190</v>
      </c>
      <c r="G3" s="32" t="str">
        <f>LEFT(F3,FIND("_",F3)-1)</f>
        <v>Laptop</v>
      </c>
      <c r="H3" s="32" t="str">
        <f>RIGHT(F3,LEN(F3)-FIND("!",F3))</f>
        <v>Secure</v>
      </c>
      <c r="I3" s="3" t="str">
        <f>MID(F3,FIND("_",F3)+1,4)</f>
        <v>2024</v>
      </c>
      <c r="J3" s="14"/>
      <c r="K3" s="14"/>
      <c r="L3" s="14"/>
      <c r="M3" s="14"/>
      <c r="Q3" s="13"/>
    </row>
    <row r="4" spans="1:18">
      <c r="C4" s="3">
        <v>1002</v>
      </c>
      <c r="D4" s="3" t="s">
        <v>198</v>
      </c>
      <c r="E4" s="3" t="s">
        <v>39</v>
      </c>
      <c r="F4" s="32" t="s">
        <v>208</v>
      </c>
      <c r="G4" s="32" t="str">
        <f t="shared" ref="G4:G7" si="0">LEFT(F4,FIND("_",F4)-1)</f>
        <v>Table</v>
      </c>
      <c r="H4" s="32" t="str">
        <f t="shared" ref="H4:H7" si="1">RIGHT(F4,LEN(F4)-FIND("!",F4))</f>
        <v>Trust</v>
      </c>
      <c r="I4" s="3" t="str">
        <f t="shared" ref="I4:I7" si="2">MID(F4,FIND("_",F4)+1,4)</f>
        <v>2025</v>
      </c>
      <c r="J4" s="14"/>
      <c r="K4" s="14"/>
      <c r="L4" s="14"/>
      <c r="M4" s="14"/>
      <c r="R4" s="13"/>
    </row>
    <row r="5" spans="1:18">
      <c r="C5" s="3">
        <v>1003</v>
      </c>
      <c r="D5" s="3" t="s">
        <v>196</v>
      </c>
      <c r="E5" s="3" t="s">
        <v>40</v>
      </c>
      <c r="F5" s="32" t="s">
        <v>209</v>
      </c>
      <c r="G5" s="32" t="str">
        <f t="shared" si="0"/>
        <v>Fan</v>
      </c>
      <c r="H5" s="32" t="str">
        <f t="shared" si="1"/>
        <v>Money</v>
      </c>
      <c r="I5" s="3" t="str">
        <f t="shared" si="2"/>
        <v>2023</v>
      </c>
      <c r="J5" s="14"/>
      <c r="K5" s="14"/>
      <c r="L5" s="14"/>
      <c r="M5" s="14"/>
    </row>
    <row r="6" spans="1:18">
      <c r="C6" s="3">
        <v>1004</v>
      </c>
      <c r="D6" s="3" t="s">
        <v>197</v>
      </c>
      <c r="E6" s="3" t="s">
        <v>41</v>
      </c>
      <c r="F6" s="32" t="s">
        <v>210</v>
      </c>
      <c r="G6" s="32" t="str">
        <f t="shared" si="0"/>
        <v>Tablet</v>
      </c>
      <c r="H6" s="32" t="str">
        <f t="shared" si="1"/>
        <v>Code</v>
      </c>
      <c r="I6" s="3" t="str">
        <f t="shared" si="2"/>
        <v>2025</v>
      </c>
      <c r="J6" s="14"/>
      <c r="K6" s="14"/>
      <c r="L6" s="14"/>
      <c r="M6" s="14"/>
    </row>
    <row r="7" spans="1:18">
      <c r="C7" s="3">
        <v>1005</v>
      </c>
      <c r="D7" s="3" t="s">
        <v>42</v>
      </c>
      <c r="E7" s="3" t="s">
        <v>43</v>
      </c>
      <c r="F7" s="32" t="s">
        <v>211</v>
      </c>
      <c r="G7" s="32" t="str">
        <f t="shared" si="0"/>
        <v>Cup</v>
      </c>
      <c r="H7" s="32" t="str">
        <f t="shared" si="1"/>
        <v>Secure</v>
      </c>
      <c r="I7" s="3" t="str">
        <f t="shared" si="2"/>
        <v>2021</v>
      </c>
      <c r="J7" s="14"/>
      <c r="K7" s="14"/>
      <c r="L7" s="14"/>
      <c r="M7" s="14"/>
    </row>
    <row r="8" spans="1:18"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8">
      <c r="A9">
        <v>1</v>
      </c>
      <c r="B9" s="14" t="s">
        <v>44</v>
      </c>
      <c r="C9" s="14" t="s">
        <v>225</v>
      </c>
      <c r="D9" s="14"/>
      <c r="G9" s="16" t="s">
        <v>45</v>
      </c>
      <c r="H9" s="14">
        <v>4</v>
      </c>
      <c r="I9" s="14" t="s">
        <v>192</v>
      </c>
      <c r="J9" s="14"/>
      <c r="K9" s="14"/>
      <c r="L9" s="14">
        <v>7</v>
      </c>
      <c r="M9" s="37" t="s">
        <v>212</v>
      </c>
    </row>
    <row r="10" spans="1:18">
      <c r="B10" s="14"/>
      <c r="C10" s="14"/>
      <c r="D10" s="14"/>
      <c r="G10" s="14"/>
      <c r="H10" s="14"/>
      <c r="I10" s="14"/>
      <c r="J10" s="14"/>
      <c r="K10" s="14"/>
      <c r="L10" s="14"/>
      <c r="M10" s="14"/>
    </row>
    <row r="11" spans="1:18">
      <c r="A11">
        <v>2</v>
      </c>
      <c r="B11" s="14" t="s">
        <v>46</v>
      </c>
      <c r="C11" s="14"/>
      <c r="D11" s="14"/>
      <c r="G11" s="16" t="s">
        <v>47</v>
      </c>
      <c r="H11" s="14">
        <v>5</v>
      </c>
      <c r="I11" s="14" t="s">
        <v>193</v>
      </c>
      <c r="J11" s="14"/>
      <c r="K11" s="14"/>
      <c r="L11" s="14">
        <v>8</v>
      </c>
      <c r="M11" s="14" t="s">
        <v>199</v>
      </c>
    </row>
    <row r="12" spans="1:18">
      <c r="B12" s="14"/>
      <c r="C12" s="14"/>
      <c r="D12" s="14"/>
      <c r="G12" s="14"/>
      <c r="H12" s="14"/>
      <c r="I12" s="14"/>
      <c r="J12" s="14"/>
      <c r="K12" s="14"/>
      <c r="L12" s="14"/>
      <c r="M12" s="14"/>
    </row>
    <row r="13" spans="1:18">
      <c r="A13">
        <v>3</v>
      </c>
      <c r="B13" s="14" t="s">
        <v>48</v>
      </c>
      <c r="C13" s="14"/>
      <c r="D13" s="14"/>
      <c r="G13" s="16" t="s">
        <v>49</v>
      </c>
      <c r="H13" s="14">
        <v>6</v>
      </c>
      <c r="I13" s="14" t="s">
        <v>194</v>
      </c>
      <c r="J13" s="14"/>
      <c r="K13" s="14"/>
      <c r="L13" s="14"/>
      <c r="M13" s="14"/>
    </row>
    <row r="15" spans="1:18">
      <c r="H15" t="str">
        <f>PROPER(D3)</f>
        <v xml:space="preserve">  Jlynch</v>
      </c>
      <c r="J15" t="str">
        <f>UPPER(D3)</f>
        <v xml:space="preserve">  JLYNCH</v>
      </c>
      <c r="K15" t="str">
        <f>LOWER(D3)</f>
        <v xml:space="preserve">  jlynch</v>
      </c>
      <c r="L15" t="str">
        <f>TRIM(D3)</f>
        <v>jlynch</v>
      </c>
      <c r="M15" s="13" t="str">
        <f>HYPERLINK("mailto:"&amp;E3,D3)</f>
        <v xml:space="preserve">  jlynch</v>
      </c>
    </row>
    <row r="16" spans="1:18">
      <c r="H16" t="str">
        <f t="shared" ref="H16:H19" si="3">PROPER(D4)</f>
        <v xml:space="preserve">      Kthomas</v>
      </c>
      <c r="J16" t="str">
        <f t="shared" ref="J16:J20" si="4">UPPER(D4)</f>
        <v xml:space="preserve">      KTHOMAS</v>
      </c>
      <c r="K16" t="str">
        <f t="shared" ref="K16:K19" si="5">LOWER(D4)</f>
        <v xml:space="preserve">      kthomas</v>
      </c>
      <c r="L16" t="str">
        <f t="shared" ref="L16:L19" si="6">TRIM(D4)</f>
        <v>kthomas</v>
      </c>
      <c r="M16" s="13" t="str">
        <f t="shared" ref="M16:M19" si="7">HYPERLINK("mailto:"&amp;E4,D4)</f>
        <v xml:space="preserve">      kthomas</v>
      </c>
    </row>
    <row r="17" spans="8:13">
      <c r="H17" t="str">
        <f t="shared" si="3"/>
        <v xml:space="preserve">  Mpoole</v>
      </c>
      <c r="J17" t="str">
        <f t="shared" si="4"/>
        <v xml:space="preserve">  MPOOLE</v>
      </c>
      <c r="K17" t="str">
        <f t="shared" si="5"/>
        <v xml:space="preserve">  mpoole</v>
      </c>
      <c r="L17" t="str">
        <f t="shared" si="6"/>
        <v>mpoole</v>
      </c>
      <c r="M17" s="13" t="str">
        <f t="shared" si="7"/>
        <v xml:space="preserve">  mpoole</v>
      </c>
    </row>
    <row r="18" spans="8:13">
      <c r="H18" t="str">
        <f t="shared" si="3"/>
        <v xml:space="preserve"> Amendez</v>
      </c>
      <c r="J18" t="str">
        <f t="shared" si="4"/>
        <v xml:space="preserve"> AMENDEZ</v>
      </c>
      <c r="K18" t="str">
        <f t="shared" si="5"/>
        <v xml:space="preserve"> amendez</v>
      </c>
      <c r="L18" t="str">
        <f t="shared" si="6"/>
        <v>amendez</v>
      </c>
      <c r="M18" s="13" t="str">
        <f t="shared" si="7"/>
        <v xml:space="preserve"> amendez</v>
      </c>
    </row>
    <row r="19" spans="8:13">
      <c r="H19" t="str">
        <f t="shared" si="3"/>
        <v>Dfigueroa</v>
      </c>
      <c r="J19" t="str">
        <f t="shared" si="4"/>
        <v>DFIGUEROA</v>
      </c>
      <c r="K19" t="str">
        <f t="shared" si="5"/>
        <v>dfigueroa</v>
      </c>
      <c r="L19" t="str">
        <f t="shared" si="6"/>
        <v>dfigueroa</v>
      </c>
      <c r="M19" s="13" t="str">
        <f t="shared" si="7"/>
        <v>dfigueroa</v>
      </c>
    </row>
    <row r="20" spans="8:13">
      <c r="J20" t="str">
        <f t="shared" si="4"/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AD8E-6CA3-4E19-9BD1-F9C0F4F34E84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</vt:lpstr>
      <vt:lpstr>DESCRIPTION</vt:lpstr>
      <vt:lpstr>LEFT,RIGHT,MID,UPPER,LOWER</vt:lpstr>
      <vt:lpstr>DESCRIPTION2</vt:lpstr>
      <vt:lpstr>PROPER,TRIM,LEN,FIND</vt:lpstr>
      <vt:lpstr>DESCRIPTION3</vt:lpstr>
      <vt:lpstr>CONCATE,HYPERLINK</vt:lpstr>
      <vt:lpstr>Excercise</vt:lpstr>
      <vt:lpstr>Excercise1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</dc:creator>
  <cp:lastModifiedBy>Shimiriya P</cp:lastModifiedBy>
  <dcterms:created xsi:type="dcterms:W3CDTF">2025-01-01T15:23:00Z</dcterms:created>
  <dcterms:modified xsi:type="dcterms:W3CDTF">2026-07-03T06:16:59Z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3538B6C0CB5546D594E4573B43A2EFE7_11</vt:lpwstr>
  </property>
  <property fmtid="{D5CDD505-2E9C-101B-9397-08002B2CF9AE}" pid="3" name="KSOProductBuildVer">
    <vt:lpwstr>1033-12.2.0.18639</vt:lpwstr>
  </property>
</Properties>
</file>